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un\Downloads\"/>
    </mc:Choice>
  </mc:AlternateContent>
  <xr:revisionPtr revIDLastSave="0" documentId="13_ncr:1_{5E73A312-DA0E-414D-8B92-43E3AAF52BF9}" xr6:coauthVersionLast="47" xr6:coauthVersionMax="47" xr10:uidLastSave="{00000000-0000-0000-0000-000000000000}"/>
  <bookViews>
    <workbookView xWindow="-86" yWindow="0" windowWidth="12515" windowHeight="14794" xr2:uid="{00000000-000D-0000-FFFF-FFFF00000000}"/>
  </bookViews>
  <sheets>
    <sheet name="Resumen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Resumen!$A$2:$AO$45</definedName>
    <definedName name="_Key1" hidden="1">[1]MAY!#REF!</definedName>
    <definedName name="_Order1" hidden="1">255</definedName>
    <definedName name="_SHR1">#REF!</definedName>
    <definedName name="_SHR2">#REF!</definedName>
    <definedName name="_Sort" hidden="1">[1]MAY!#REF!</definedName>
    <definedName name="Área_de_muestra_1">#REF!</definedName>
    <definedName name="Área_de_muestra_2">#REF!</definedName>
    <definedName name="boxes">#REF!,#REF!</definedName>
    <definedName name="button_area_1">#REF!</definedName>
    <definedName name="CC">#REF!</definedName>
    <definedName name="CCT">#REF!</definedName>
    <definedName name="CDB">#REF!</definedName>
    <definedName name="celltips_area">#REF!</definedName>
    <definedName name="CS">#REF!</definedName>
    <definedName name="data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HR">[2]hoja!$R$8:$R$13</definedName>
    <definedName name="LOC">#REF!</definedName>
    <definedName name="LTR">#REF!</definedName>
    <definedName name="NO">#REF!</definedName>
    <definedName name="NS">#REF!</definedName>
    <definedName name="pedidos">#REF!</definedName>
    <definedName name="PNUE">'[3]DATOS (2)'!$A$4:$J$65536</definedName>
    <definedName name="qzqzqz1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">#REF!</definedName>
    <definedName name="qzqzqz30">#REF!</definedName>
    <definedName name="qzqzqz31">#REF!</definedName>
    <definedName name="qzqzqz32">#REF!</definedName>
    <definedName name="qzqzqz33">#REF!</definedName>
    <definedName name="qzqzqz34">#REF!</definedName>
    <definedName name="qzqzqz35">#REF!</definedName>
    <definedName name="qzqzqz36">#REF!</definedName>
    <definedName name="qzqzqz37">#REF!</definedName>
    <definedName name="qzqzqz38">#REF!</definedName>
    <definedName name="qzqzqz39">#REF!</definedName>
    <definedName name="qzqzqz4">#REF!</definedName>
    <definedName name="qzqzqz40">#REF!</definedName>
    <definedName name="qzqzqz41">#REF!</definedName>
    <definedName name="qzqzqz42">#REF!</definedName>
    <definedName name="qzqzqz43">#REF!</definedName>
    <definedName name="qzqzqz44">#REF!</definedName>
    <definedName name="qzqzqz45">#REF!</definedName>
    <definedName name="qzqzqz46">#REF!</definedName>
    <definedName name="qzqzqz47">#REF!</definedName>
    <definedName name="qzqzqz48">#REF!</definedName>
    <definedName name="qzqzqz49">#REF!</definedName>
    <definedName name="qzqzqz5">#REF!</definedName>
    <definedName name="qzqzqz50">#REF!</definedName>
    <definedName name="qzqzqz51">#REF!</definedName>
    <definedName name="qzqzqz52">#REF!</definedName>
    <definedName name="qzqzqz53">#REF!</definedName>
    <definedName name="qzqzqz54">#REF!</definedName>
    <definedName name="qzqzqz55">#REF!</definedName>
    <definedName name="qzqzqz56">#REF!</definedName>
    <definedName name="qzqzqz57">#REF!</definedName>
    <definedName name="qzqzqz58">#REF!</definedName>
    <definedName name="qzqzqz59">#REF!</definedName>
    <definedName name="qzqzqz6">#REF!</definedName>
    <definedName name="qzqzqz60">#REF!</definedName>
    <definedName name="qzqzqz61">#REF!</definedName>
    <definedName name="qzqzqz7">#REF!</definedName>
    <definedName name="qzqzqz8">#REF!</definedName>
    <definedName name="qzqzqz9">#REF!</definedName>
    <definedName name="SICAFINALDAT_PRESENTACION">#REF!</definedName>
    <definedName name="SICAFINALDAT_PRESENTACIONSURTIDO">#REF!</definedName>
    <definedName name="SS">#REF!</definedName>
    <definedName name="TOT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3" i="1"/>
  <c r="AF45" i="1"/>
  <c r="AG45" i="1" s="1"/>
  <c r="AB45" i="1"/>
  <c r="AC45" i="1" s="1"/>
  <c r="X45" i="1"/>
  <c r="Y45" i="1" s="1"/>
  <c r="T45" i="1"/>
  <c r="U45" i="1" s="1"/>
  <c r="AF44" i="1"/>
  <c r="AG44" i="1" s="1"/>
  <c r="AB44" i="1"/>
  <c r="AC44" i="1" s="1"/>
  <c r="X44" i="1"/>
  <c r="Y44" i="1" s="1"/>
  <c r="T44" i="1"/>
  <c r="U44" i="1" s="1"/>
  <c r="AF43" i="1"/>
  <c r="AG43" i="1" s="1"/>
  <c r="AB43" i="1"/>
  <c r="AC43" i="1" s="1"/>
  <c r="X43" i="1"/>
  <c r="Y43" i="1" s="1"/>
  <c r="T43" i="1"/>
  <c r="U43" i="1" s="1"/>
  <c r="AF42" i="1"/>
  <c r="AG42" i="1" s="1"/>
  <c r="AB42" i="1"/>
  <c r="AC42" i="1" s="1"/>
  <c r="X42" i="1"/>
  <c r="Y42" i="1" s="1"/>
  <c r="T42" i="1"/>
  <c r="U42" i="1" s="1"/>
  <c r="AF41" i="1"/>
  <c r="AG41" i="1" s="1"/>
  <c r="AB41" i="1"/>
  <c r="AC41" i="1" s="1"/>
  <c r="X41" i="1"/>
  <c r="Y41" i="1" s="1"/>
  <c r="T41" i="1"/>
  <c r="U41" i="1" s="1"/>
  <c r="AF40" i="1"/>
  <c r="AG40" i="1" s="1"/>
  <c r="AB40" i="1"/>
  <c r="AC40" i="1" s="1"/>
  <c r="X40" i="1"/>
  <c r="Y40" i="1" s="1"/>
  <c r="T40" i="1"/>
  <c r="U40" i="1" s="1"/>
  <c r="AF39" i="1"/>
  <c r="AG39" i="1" s="1"/>
  <c r="AB39" i="1"/>
  <c r="AC39" i="1" s="1"/>
  <c r="X39" i="1"/>
  <c r="Y39" i="1" s="1"/>
  <c r="T39" i="1"/>
  <c r="U39" i="1" s="1"/>
  <c r="AF38" i="1"/>
  <c r="AG38" i="1" s="1"/>
  <c r="AB38" i="1"/>
  <c r="AC38" i="1" s="1"/>
  <c r="X38" i="1"/>
  <c r="Y38" i="1" s="1"/>
  <c r="T38" i="1"/>
  <c r="U38" i="1" s="1"/>
  <c r="AF37" i="1"/>
  <c r="AG37" i="1" s="1"/>
  <c r="AB37" i="1"/>
  <c r="AC37" i="1" s="1"/>
  <c r="X37" i="1"/>
  <c r="Y37" i="1" s="1"/>
  <c r="T37" i="1"/>
  <c r="U37" i="1" s="1"/>
  <c r="AF36" i="1"/>
  <c r="AG36" i="1" s="1"/>
  <c r="AB36" i="1"/>
  <c r="AC36" i="1" s="1"/>
  <c r="X36" i="1"/>
  <c r="Y36" i="1" s="1"/>
  <c r="T36" i="1"/>
  <c r="U36" i="1" s="1"/>
  <c r="AF35" i="1"/>
  <c r="AG35" i="1" s="1"/>
  <c r="AB35" i="1"/>
  <c r="AC35" i="1" s="1"/>
  <c r="X35" i="1"/>
  <c r="Y35" i="1" s="1"/>
  <c r="T35" i="1"/>
  <c r="U35" i="1" s="1"/>
  <c r="AF34" i="1"/>
  <c r="AG34" i="1" s="1"/>
  <c r="AB34" i="1"/>
  <c r="AC34" i="1" s="1"/>
  <c r="X34" i="1"/>
  <c r="Y34" i="1" s="1"/>
  <c r="T34" i="1"/>
  <c r="U34" i="1" s="1"/>
  <c r="AF33" i="1"/>
  <c r="AG33" i="1" s="1"/>
  <c r="AB33" i="1"/>
  <c r="AC33" i="1" s="1"/>
  <c r="X33" i="1"/>
  <c r="Y33" i="1" s="1"/>
  <c r="T33" i="1"/>
  <c r="U33" i="1" s="1"/>
  <c r="AF32" i="1"/>
  <c r="AG32" i="1" s="1"/>
  <c r="AB32" i="1"/>
  <c r="AC32" i="1" s="1"/>
  <c r="X32" i="1"/>
  <c r="Y32" i="1" s="1"/>
  <c r="T32" i="1"/>
  <c r="U32" i="1" s="1"/>
  <c r="AF31" i="1"/>
  <c r="AG31" i="1" s="1"/>
  <c r="AB31" i="1"/>
  <c r="AC31" i="1" s="1"/>
  <c r="X31" i="1"/>
  <c r="Y31" i="1" s="1"/>
  <c r="T31" i="1"/>
  <c r="U31" i="1" s="1"/>
  <c r="AF30" i="1"/>
  <c r="AG30" i="1" s="1"/>
  <c r="AB30" i="1"/>
  <c r="AC30" i="1" s="1"/>
  <c r="X30" i="1"/>
  <c r="Y30" i="1" s="1"/>
  <c r="T30" i="1"/>
  <c r="U30" i="1" s="1"/>
  <c r="AF29" i="1"/>
  <c r="AG29" i="1" s="1"/>
  <c r="AB29" i="1"/>
  <c r="AC29" i="1" s="1"/>
  <c r="X29" i="1"/>
  <c r="Y29" i="1" s="1"/>
  <c r="T29" i="1"/>
  <c r="U29" i="1" s="1"/>
  <c r="AF28" i="1"/>
  <c r="AG28" i="1" s="1"/>
  <c r="AB28" i="1"/>
  <c r="AC28" i="1" s="1"/>
  <c r="X28" i="1"/>
  <c r="Y28" i="1" s="1"/>
  <c r="T28" i="1"/>
  <c r="U28" i="1" s="1"/>
  <c r="AF27" i="1"/>
  <c r="AG27" i="1" s="1"/>
  <c r="AB27" i="1"/>
  <c r="AC27" i="1" s="1"/>
  <c r="X27" i="1"/>
  <c r="Y27" i="1" s="1"/>
  <c r="T27" i="1"/>
  <c r="U27" i="1" s="1"/>
  <c r="AF26" i="1"/>
  <c r="AG26" i="1" s="1"/>
  <c r="AB26" i="1"/>
  <c r="AC26" i="1" s="1"/>
  <c r="X26" i="1"/>
  <c r="Y26" i="1" s="1"/>
  <c r="T26" i="1"/>
  <c r="U26" i="1" s="1"/>
  <c r="AF25" i="1"/>
  <c r="AG25" i="1" s="1"/>
  <c r="AB25" i="1"/>
  <c r="AC25" i="1" s="1"/>
  <c r="X25" i="1"/>
  <c r="Y25" i="1" s="1"/>
  <c r="T25" i="1"/>
  <c r="U25" i="1" s="1"/>
  <c r="AF24" i="1"/>
  <c r="AG24" i="1" s="1"/>
  <c r="AB24" i="1"/>
  <c r="AC24" i="1" s="1"/>
  <c r="X24" i="1"/>
  <c r="Y24" i="1" s="1"/>
  <c r="T24" i="1"/>
  <c r="U24" i="1" s="1"/>
  <c r="AF23" i="1"/>
  <c r="AG23" i="1" s="1"/>
  <c r="AB23" i="1"/>
  <c r="AC23" i="1" s="1"/>
  <c r="X23" i="1"/>
  <c r="Y23" i="1" s="1"/>
  <c r="T23" i="1"/>
  <c r="U23" i="1" s="1"/>
  <c r="AF22" i="1"/>
  <c r="AG22" i="1" s="1"/>
  <c r="AB22" i="1"/>
  <c r="AC22" i="1" s="1"/>
  <c r="X22" i="1"/>
  <c r="Y22" i="1" s="1"/>
  <c r="T22" i="1"/>
  <c r="U22" i="1" s="1"/>
  <c r="AF21" i="1"/>
  <c r="AG21" i="1" s="1"/>
  <c r="AB21" i="1"/>
  <c r="AC21" i="1" s="1"/>
  <c r="X21" i="1"/>
  <c r="Y21" i="1" s="1"/>
  <c r="T21" i="1"/>
  <c r="U21" i="1" s="1"/>
  <c r="AF20" i="1"/>
  <c r="AG20" i="1" s="1"/>
  <c r="AB20" i="1"/>
  <c r="AC20" i="1" s="1"/>
  <c r="X20" i="1"/>
  <c r="Y20" i="1" s="1"/>
  <c r="T20" i="1"/>
  <c r="U20" i="1" s="1"/>
  <c r="AF19" i="1"/>
  <c r="AG19" i="1" s="1"/>
  <c r="AB19" i="1"/>
  <c r="AC19" i="1" s="1"/>
  <c r="X19" i="1"/>
  <c r="Y19" i="1" s="1"/>
  <c r="T19" i="1"/>
  <c r="U19" i="1" s="1"/>
  <c r="AF18" i="1"/>
  <c r="AG18" i="1" s="1"/>
  <c r="AB18" i="1"/>
  <c r="AC18" i="1" s="1"/>
  <c r="X18" i="1"/>
  <c r="Y18" i="1" s="1"/>
  <c r="T18" i="1"/>
  <c r="U18" i="1" s="1"/>
  <c r="AF17" i="1"/>
  <c r="AG17" i="1" s="1"/>
  <c r="AB17" i="1"/>
  <c r="AC17" i="1" s="1"/>
  <c r="X17" i="1"/>
  <c r="Y17" i="1" s="1"/>
  <c r="T17" i="1"/>
  <c r="U17" i="1" s="1"/>
  <c r="AF16" i="1"/>
  <c r="AG16" i="1" s="1"/>
  <c r="AB16" i="1"/>
  <c r="AC16" i="1" s="1"/>
  <c r="X16" i="1"/>
  <c r="Y16" i="1" s="1"/>
  <c r="T16" i="1"/>
  <c r="U16" i="1" s="1"/>
  <c r="AF15" i="1"/>
  <c r="AG15" i="1" s="1"/>
  <c r="AB15" i="1"/>
  <c r="AC15" i="1" s="1"/>
  <c r="X15" i="1"/>
  <c r="Y15" i="1" s="1"/>
  <c r="T15" i="1"/>
  <c r="U15" i="1" s="1"/>
  <c r="AF14" i="1"/>
  <c r="AG14" i="1" s="1"/>
  <c r="AB14" i="1"/>
  <c r="AC14" i="1" s="1"/>
  <c r="X14" i="1"/>
  <c r="Y14" i="1" s="1"/>
  <c r="T14" i="1"/>
  <c r="U14" i="1" s="1"/>
  <c r="AF13" i="1"/>
  <c r="AG13" i="1" s="1"/>
  <c r="AB13" i="1"/>
  <c r="AC13" i="1" s="1"/>
  <c r="X13" i="1"/>
  <c r="Y13" i="1" s="1"/>
  <c r="T13" i="1"/>
  <c r="U13" i="1" s="1"/>
  <c r="AF12" i="1"/>
  <c r="AG12" i="1" s="1"/>
  <c r="AB12" i="1"/>
  <c r="AC12" i="1" s="1"/>
  <c r="X12" i="1"/>
  <c r="Y12" i="1" s="1"/>
  <c r="T12" i="1"/>
  <c r="U12" i="1" s="1"/>
  <c r="AF11" i="1"/>
  <c r="AG11" i="1" s="1"/>
  <c r="AB11" i="1"/>
  <c r="AC11" i="1" s="1"/>
  <c r="X11" i="1"/>
  <c r="Y11" i="1" s="1"/>
  <c r="T11" i="1"/>
  <c r="U11" i="1" s="1"/>
  <c r="AF10" i="1"/>
  <c r="AG10" i="1" s="1"/>
  <c r="AB10" i="1"/>
  <c r="AC10" i="1" s="1"/>
  <c r="X10" i="1"/>
  <c r="Y10" i="1" s="1"/>
  <c r="T10" i="1"/>
  <c r="U10" i="1" s="1"/>
  <c r="AF9" i="1"/>
  <c r="AG9" i="1" s="1"/>
  <c r="AB9" i="1"/>
  <c r="AC9" i="1" s="1"/>
  <c r="X9" i="1"/>
  <c r="Y9" i="1" s="1"/>
  <c r="T9" i="1"/>
  <c r="U9" i="1" s="1"/>
  <c r="AF8" i="1"/>
  <c r="AG8" i="1" s="1"/>
  <c r="AB8" i="1"/>
  <c r="AC8" i="1" s="1"/>
  <c r="X8" i="1"/>
  <c r="Y8" i="1" s="1"/>
  <c r="T8" i="1"/>
  <c r="U8" i="1" s="1"/>
  <c r="AF7" i="1"/>
  <c r="AG7" i="1" s="1"/>
  <c r="AB7" i="1"/>
  <c r="AC7" i="1" s="1"/>
  <c r="X7" i="1"/>
  <c r="Y7" i="1" s="1"/>
  <c r="T7" i="1"/>
  <c r="U7" i="1" s="1"/>
  <c r="AF6" i="1"/>
  <c r="AG6" i="1" s="1"/>
  <c r="AB6" i="1"/>
  <c r="AC6" i="1" s="1"/>
  <c r="X6" i="1"/>
  <c r="Y6" i="1" s="1"/>
  <c r="T6" i="1"/>
  <c r="U6" i="1" s="1"/>
  <c r="AF5" i="1"/>
  <c r="AG5" i="1" s="1"/>
  <c r="AB5" i="1"/>
  <c r="AC5" i="1" s="1"/>
  <c r="X5" i="1"/>
  <c r="Y5" i="1" s="1"/>
  <c r="T5" i="1"/>
  <c r="U5" i="1" s="1"/>
  <c r="AF4" i="1"/>
  <c r="AG4" i="1" s="1"/>
  <c r="AB4" i="1"/>
  <c r="AC4" i="1" s="1"/>
  <c r="X4" i="1"/>
  <c r="Y4" i="1" s="1"/>
  <c r="T4" i="1"/>
  <c r="U4" i="1" s="1"/>
  <c r="AF3" i="1"/>
  <c r="AG3" i="1" s="1"/>
  <c r="AB3" i="1"/>
  <c r="AC3" i="1" s="1"/>
  <c r="X3" i="1"/>
  <c r="Y3" i="1" s="1"/>
  <c r="T3" i="1"/>
  <c r="U3" i="1" s="1"/>
</calcChain>
</file>

<file path=xl/sharedStrings.xml><?xml version="1.0" encoding="utf-8"?>
<sst xmlns="http://schemas.openxmlformats.org/spreadsheetml/2006/main" count="368" uniqueCount="144">
  <si>
    <t>Acumulado Ene - May 2026</t>
  </si>
  <si>
    <t>Modalidad Por Peso</t>
  </si>
  <si>
    <t>Modalidad Por Bulto</t>
  </si>
  <si>
    <t>Modalidad Por Pedido</t>
  </si>
  <si>
    <t>Modalidad Por Viaje</t>
  </si>
  <si>
    <t>Agencia</t>
  </si>
  <si>
    <t xml:space="preserve">KM 
(Lima a Destino) </t>
  </si>
  <si>
    <t>Horas de Transito (Lima a Destino)</t>
  </si>
  <si>
    <t>Total Pedidos</t>
  </si>
  <si>
    <t>Total Bultos</t>
  </si>
  <si>
    <t>Total Volumen (M3)</t>
  </si>
  <si>
    <t>Total Peso (KG)</t>
  </si>
  <si>
    <t xml:space="preserve">Total Venta 
($ USD)  </t>
  </si>
  <si>
    <t>Total Flete  ($ USD)</t>
  </si>
  <si>
    <t>Flete /Venta ($ USD)</t>
  </si>
  <si>
    <t>Tarifa /Por Peso</t>
  </si>
  <si>
    <t>Cantidad Peso (KG)</t>
  </si>
  <si>
    <t>Importe Flete Por Peso</t>
  </si>
  <si>
    <t xml:space="preserve">% Pagado Por Peso </t>
  </si>
  <si>
    <t xml:space="preserve">Tarifa Por Bulto </t>
  </si>
  <si>
    <t>Cantidad de Bultos</t>
  </si>
  <si>
    <t>Importe Flete (Por Bulto)</t>
  </si>
  <si>
    <t xml:space="preserve"> % Pagado Por Bulto </t>
  </si>
  <si>
    <t xml:space="preserve">Tarifa Por Pedido </t>
  </si>
  <si>
    <t>Cantidad Pedidos</t>
  </si>
  <si>
    <t>Importe Flete ($ USD)</t>
  </si>
  <si>
    <t xml:space="preserve">% Pagado Por Pedido </t>
  </si>
  <si>
    <t xml:space="preserve">Tarifa Por Viaje </t>
  </si>
  <si>
    <t xml:space="preserve">Cantidad de Viajes </t>
  </si>
  <si>
    <t>Flete Por Viaje ($ USD)</t>
  </si>
  <si>
    <t xml:space="preserve">% Pagado Por Viaje </t>
  </si>
  <si>
    <t>Arequipa</t>
  </si>
  <si>
    <t>Samka</t>
  </si>
  <si>
    <t>Negociar reducción de tarifas / Evaluar nuevos proveedores</t>
  </si>
  <si>
    <t>Grael</t>
  </si>
  <si>
    <t>Marvisur</t>
  </si>
  <si>
    <t>Tralex Cargo</t>
  </si>
  <si>
    <t>Cusco</t>
  </si>
  <si>
    <t>Navitas</t>
  </si>
  <si>
    <t>Joaquin Transport</t>
  </si>
  <si>
    <t>Arellano</t>
  </si>
  <si>
    <t>Revisar las urgencias de pedidos de volumen (carretillas)</t>
  </si>
  <si>
    <t>Andrea &amp; Daniela</t>
  </si>
  <si>
    <t>Quiñones</t>
  </si>
  <si>
    <t>Negociar reducción de tarifas / Iniciar pruebas con Dival y/o Antezana</t>
  </si>
  <si>
    <t>Moquegua</t>
  </si>
  <si>
    <t>Ayacucho</t>
  </si>
  <si>
    <t>Piloto en curso con agencia Antezana</t>
  </si>
  <si>
    <t>Puno</t>
  </si>
  <si>
    <t>Negociar reducción de tarifas y cambio modalidad / Evaluar nuevos proveedores</t>
  </si>
  <si>
    <t>Chiclayo</t>
  </si>
  <si>
    <t>Aval</t>
  </si>
  <si>
    <t>Retomar el servicio, previa reunión con el proveedor para no incrementar costo.</t>
  </si>
  <si>
    <t>Junín - SC</t>
  </si>
  <si>
    <t>Piloto con Dival se inicia lunes 22-Jun</t>
  </si>
  <si>
    <t>Evaluar nuevas alternativas de proveedores</t>
  </si>
  <si>
    <t>Piura</t>
  </si>
  <si>
    <t>Evaluar tairfas con Dival para efectuar piloto</t>
  </si>
  <si>
    <t>Trujillo</t>
  </si>
  <si>
    <t>Tacna</t>
  </si>
  <si>
    <t>Tumbes</t>
  </si>
  <si>
    <t>Piloto en curso con agencia Dival</t>
  </si>
  <si>
    <t>Ica</t>
  </si>
  <si>
    <t>Huánuco</t>
  </si>
  <si>
    <t xml:space="preserve">Comentarios y/o Acciones </t>
  </si>
  <si>
    <t>Punto de Partida</t>
  </si>
  <si>
    <t>Punto de Llegada</t>
  </si>
  <si>
    <t>Lima</t>
  </si>
  <si>
    <t>Junín - HYO</t>
  </si>
  <si>
    <t>Apurímac</t>
  </si>
  <si>
    <t>Ancásh</t>
  </si>
  <si>
    <t>Paradas</t>
  </si>
  <si>
    <t>Directo</t>
  </si>
  <si>
    <t>Huánuco, Tingo María</t>
  </si>
  <si>
    <t>Huacho, Huaral, Chancay, Barranca, Supe, Huaraz</t>
  </si>
  <si>
    <t>Cañete, Chincha, Pisco, Ica, Nazca, Marcona</t>
  </si>
  <si>
    <t>Cañete, Chincha, Pisco, Ica, Nazca</t>
  </si>
  <si>
    <t>Chiclayo, Piura Tumbes</t>
  </si>
  <si>
    <t>Mollendo, Ilo, Moquegua, Ilo, Tacna</t>
  </si>
  <si>
    <t>Mollendo, Ilo, Moquegua, Ilo</t>
  </si>
  <si>
    <t>Chimbote, Trujillo</t>
  </si>
  <si>
    <t>Chimbote, Chepen</t>
  </si>
  <si>
    <t>Chiclayo, Piura, Paita</t>
  </si>
  <si>
    <t>Chiclayo, Piura, Sullana</t>
  </si>
  <si>
    <t>Cañete, Chincha, Pisco, Ica, Nazca, Puqui, Abancay</t>
  </si>
  <si>
    <t>Chiclayo, Lambayeque, Olmos</t>
  </si>
  <si>
    <t>Atico, Camana, Chala, Pedregal, Juliaca</t>
  </si>
  <si>
    <t>Cañete, Chincha, Pisco, Ayacucho</t>
  </si>
  <si>
    <t>Pisco, Ica, Nazca, Abancay, Cusco</t>
  </si>
  <si>
    <t>Cusco, Espinar, Sicuani, Quillabamba</t>
  </si>
  <si>
    <t>Cañete, Chincha, Pisco, Ica, Nazca, Marcona, Yauca, Chala, Atico, Camana, Pedregal, La Joya</t>
  </si>
  <si>
    <t>-12.0420392,-76.9514002</t>
  </si>
  <si>
    <t>Coordenadas Punto de Partida</t>
  </si>
  <si>
    <t>Coordenadas Punto de Llegada</t>
  </si>
  <si>
    <t>-12.0783913,-77.0315718</t>
  </si>
  <si>
    <t>-12.0665736,-77.03056</t>
  </si>
  <si>
    <t>-12.0641721,-77.0300775</t>
  </si>
  <si>
    <t>-12.1876567,-77.007969</t>
  </si>
  <si>
    <t>-12.0605272,-77.0232651</t>
  </si>
  <si>
    <t>-12.0846665,-77.0198532</t>
  </si>
  <si>
    <t>-12.0890124,-77.0164841</t>
  </si>
  <si>
    <t>-16.4027742,-71.5731079</t>
  </si>
  <si>
    <t>-13.5333198,-71.9433903</t>
  </si>
  <si>
    <t>-12.0758021,-75.2106902</t>
  </si>
  <si>
    <t>-13.1627116,-74.225892</t>
  </si>
  <si>
    <t>-15.4909422,-70.1422765</t>
  </si>
  <si>
    <t>-6.8009126,-79.8525062</t>
  </si>
  <si>
    <t>Yauli, Junín, Tarma, Chanchamayo, Satipo</t>
  </si>
  <si>
    <t>-11.4297526,-74.5091881</t>
  </si>
  <si>
    <t>-13.6336642,-72.9026694</t>
  </si>
  <si>
    <t>-9.0602304,-78.5899671</t>
  </si>
  <si>
    <t>Chala, Atico, Camana, Pedregal</t>
  </si>
  <si>
    <t>-16.3569818,-72.1909656</t>
  </si>
  <si>
    <t>-16.4278283,-71.8218597</t>
  </si>
  <si>
    <t>-12.867386,-72.6937147</t>
  </si>
  <si>
    <t>-17.1932606,-70.9429771</t>
  </si>
  <si>
    <t>-5.090205,-81.1094215</t>
  </si>
  <si>
    <t>-4.9150183,-80.7000129</t>
  </si>
  <si>
    <t>-7.2293771,-79.4443823</t>
  </si>
  <si>
    <t>-8.1184656,-79.0278222</t>
  </si>
  <si>
    <t>-18.0267319,-70.2541451</t>
  </si>
  <si>
    <t>-3.503512,-80.2924999</t>
  </si>
  <si>
    <t>-14.8330372,-74.9461967</t>
  </si>
  <si>
    <t>-15.3624052,-75.1656989</t>
  </si>
  <si>
    <t>-9.5164189,-77.5302062</t>
  </si>
  <si>
    <t>-9.2995791,-76.0026247</t>
  </si>
  <si>
    <t>Punto de Llegada Gráfico</t>
  </si>
  <si>
    <t>ARQ</t>
  </si>
  <si>
    <t>AYC</t>
  </si>
  <si>
    <t>CHC</t>
  </si>
  <si>
    <t>TRJ</t>
  </si>
  <si>
    <t>CUS</t>
  </si>
  <si>
    <t>MOQ</t>
  </si>
  <si>
    <t>PUN</t>
  </si>
  <si>
    <t>APU</t>
  </si>
  <si>
    <t>PIU</t>
  </si>
  <si>
    <t>TAC</t>
  </si>
  <si>
    <t>TUM</t>
  </si>
  <si>
    <t>HUN</t>
  </si>
  <si>
    <t>J-HYO</t>
  </si>
  <si>
    <t>J-SC</t>
  </si>
  <si>
    <t>ICA</t>
  </si>
  <si>
    <t>ANC</t>
  </si>
  <si>
    <t>Costo por Kilo Ponderado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</si>
</sst>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-[$$-540A]* #,##0_ ;_-[$$-540A]* \-#,##0\ ;_-[$$-540A]* &quot;-&quot;_ ;_-@_ "/>
    <numFmt numFmtId="165" formatCode="0.0%"/>
    <numFmt numFmtId="166" formatCode="_-[$$-409]* #,##0.00_ ;_-[$$-409]* \-#,##0.00\ ;_-[$$-409]* &quot;-&quot;?_ ;_-@_ "/>
    <numFmt numFmtId="167" formatCode="_-[$$-409]* #,##0_ ;_-[$$-409]* \-#,##0\ ;_-[$$-409]* &quot;-&quot;?_ ;_-@_ "/>
  </numFmts>
  <fonts count="8">
    <font>
      <sz val="11"/>
      <color theme="1"/>
      <name val="Aptos Narrow"/>
      <family val="2"/>
      <scheme val="minor"/>
    </font>
    <font>
      <b/>
      <sz val="9"/>
      <color theme="1"/>
      <name val="Roboto"/>
    </font>
    <font>
      <sz val="9"/>
      <color theme="1"/>
      <name val="Roboto"/>
    </font>
    <font>
      <b/>
      <sz val="9"/>
      <color rgb="FFFFFFFF"/>
      <name val="Roboto Black"/>
    </font>
    <font>
      <b/>
      <sz val="9"/>
      <color theme="1"/>
      <name val="Roboto Ligth"/>
    </font>
    <font>
      <sz val="9"/>
      <color theme="1"/>
      <name val="Roboto Ligth"/>
    </font>
    <font>
      <b/>
      <sz val="9"/>
      <color theme="0"/>
      <name val="Roboto Black"/>
    </font>
    <font>
      <b/>
      <sz val="9"/>
      <color theme="1"/>
      <name val="Roboto Black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672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7" xfId="0" applyFont="1" applyBorder="1" applyAlignment="1">
      <alignment horizontal="left" vertical="center"/>
    </xf>
    <xf numFmtId="41" fontId="5" fillId="0" borderId="8" xfId="0" applyNumberFormat="1" applyFont="1" applyBorder="1" applyAlignment="1">
      <alignment horizontal="center" vertical="center"/>
    </xf>
    <xf numFmtId="41" fontId="5" fillId="0" borderId="9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0" xfId="0" applyFont="1"/>
    <xf numFmtId="0" fontId="5" fillId="0" borderId="3" xfId="0" applyFont="1" applyBorder="1" applyAlignment="1">
      <alignment horizontal="left" vertical="center"/>
    </xf>
    <xf numFmtId="41" fontId="5" fillId="0" borderId="6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41" fontId="5" fillId="0" borderId="11" xfId="0" applyNumberFormat="1" applyFont="1" applyBorder="1" applyAlignment="1">
      <alignment horizontal="center" vertical="center"/>
    </xf>
    <xf numFmtId="41" fontId="5" fillId="0" borderId="12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66" fontId="5" fillId="0" borderId="11" xfId="0" applyNumberFormat="1" applyFont="1" applyBorder="1" applyAlignment="1">
      <alignment horizontal="center" vertical="center"/>
    </xf>
    <xf numFmtId="9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41" fontId="5" fillId="0" borderId="13" xfId="0" applyNumberFormat="1" applyFont="1" applyBorder="1" applyAlignment="1">
      <alignment horizontal="center" vertical="center"/>
    </xf>
    <xf numFmtId="41" fontId="5" fillId="0" borderId="4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167" fontId="5" fillId="0" borderId="11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ruz\c\Mis%20documentos\Puebla\ARCHIVO%20NUEVO%20DE%20PUEBLA%20ABR-JU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upercorp-my.sharepoint.com/apoyo/2014/ABRIL/21-02%20Cuadro%20Apoy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ruz\c\Mis%20documentos\vallejo\REQ.%20AGOSTO%20DF\PROMEDIO%20BUFFER%20AGOSTO%20NUEVOS%20D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NOSTICO PUE"/>
      <sheetName val="ABR"/>
      <sheetName val="MAY"/>
      <sheetName val="JUN"/>
      <sheetName val="ventas abr-jun"/>
      <sheetName val="VENTAS"/>
      <sheetName val="VENTAS (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LEJO"/>
      <sheetName val="MASTER"/>
      <sheetName val="DIAS"/>
      <sheetName val="vallejo 1"/>
      <sheetName val="DATOS (2)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5"/>
  <sheetViews>
    <sheetView showGridLines="0" tabSelected="1" topLeftCell="G1" zoomScaleNormal="100" workbookViewId="0">
      <selection activeCell="O14" sqref="O14"/>
    </sheetView>
  </sheetViews>
  <sheetFormatPr baseColWidth="10" defaultColWidth="11.61328125" defaultRowHeight="11.6"/>
  <cols>
    <col min="1" max="2" width="17.3828125" style="3" bestFit="1" customWidth="1"/>
    <col min="3" max="3" width="7.07421875" style="50" bestFit="1" customWidth="1"/>
    <col min="4" max="4" width="9.23046875" style="50" bestFit="1" customWidth="1"/>
    <col min="5" max="5" width="9.23046875" style="50" customWidth="1"/>
    <col min="6" max="6" width="66.921875" style="1" bestFit="1" customWidth="1"/>
    <col min="7" max="7" width="12.3828125" style="45" bestFit="1" customWidth="1"/>
    <col min="8" max="8" width="12.3828125" style="45" customWidth="1"/>
    <col min="9" max="9" width="6.69140625" style="2" bestFit="1" customWidth="1"/>
    <col min="10" max="10" width="7.07421875" style="2" bestFit="1" customWidth="1"/>
    <col min="11" max="11" width="6.4609375" style="2" bestFit="1" customWidth="1"/>
    <col min="12" max="12" width="6.07421875" style="2" bestFit="1" customWidth="1"/>
    <col min="13" max="13" width="6.765625" style="2" bestFit="1" customWidth="1"/>
    <col min="14" max="14" width="8.3046875" style="2" bestFit="1" customWidth="1"/>
    <col min="15" max="15" width="10" style="2" bestFit="1" customWidth="1"/>
    <col min="16" max="16" width="8.61328125" style="2" bestFit="1" customWidth="1"/>
    <col min="17" max="17" width="6.765625" style="2" bestFit="1" customWidth="1"/>
    <col min="18" max="18" width="8.07421875" style="2" customWidth="1"/>
    <col min="19" max="19" width="8" style="2" bestFit="1" customWidth="1"/>
    <col min="20" max="20" width="7.23046875" style="2" bestFit="1" customWidth="1"/>
    <col min="21" max="21" width="7.69140625" style="2" bestFit="1" customWidth="1"/>
    <col min="22" max="22" width="5.23046875" style="2" bestFit="1" customWidth="1"/>
    <col min="23" max="23" width="7.4609375" style="2" bestFit="1" customWidth="1"/>
    <col min="24" max="24" width="7.69140625" style="2" bestFit="1" customWidth="1"/>
    <col min="25" max="25" width="7.3828125" style="2" bestFit="1" customWidth="1"/>
    <col min="26" max="26" width="6" style="2" bestFit="1" customWidth="1"/>
    <col min="27" max="27" width="7" style="2" bestFit="1" customWidth="1"/>
    <col min="28" max="28" width="10.07421875" style="2" bestFit="1" customWidth="1"/>
    <col min="29" max="30" width="7.69140625" style="2" bestFit="1" customWidth="1"/>
    <col min="31" max="31" width="7.07421875" style="2" bestFit="1" customWidth="1"/>
    <col min="32" max="32" width="7.23046875" style="2" bestFit="1" customWidth="1"/>
    <col min="33" max="33" width="7.69140625" style="2" bestFit="1" customWidth="1"/>
    <col min="34" max="34" width="53.61328125" style="45" bestFit="1" customWidth="1"/>
    <col min="35" max="16384" width="11.61328125" style="3"/>
  </cols>
  <sheetData>
    <row r="1" spans="1:34" s="54" customFormat="1">
      <c r="C1" s="52"/>
      <c r="D1" s="52"/>
      <c r="E1" s="52"/>
      <c r="F1" s="55"/>
      <c r="G1" s="56"/>
      <c r="H1" s="56"/>
      <c r="I1" s="53"/>
      <c r="J1" s="53"/>
      <c r="K1" s="58" t="s">
        <v>0</v>
      </c>
      <c r="L1" s="59"/>
      <c r="M1" s="59"/>
      <c r="N1" s="59"/>
      <c r="O1" s="59"/>
      <c r="P1" s="59"/>
      <c r="Q1" s="60"/>
      <c r="R1" s="58" t="s">
        <v>1</v>
      </c>
      <c r="S1" s="59"/>
      <c r="T1" s="59"/>
      <c r="U1" s="60"/>
      <c r="V1" s="58" t="s">
        <v>2</v>
      </c>
      <c r="W1" s="59"/>
      <c r="X1" s="59"/>
      <c r="Y1" s="60"/>
      <c r="Z1" s="58" t="s">
        <v>3</v>
      </c>
      <c r="AA1" s="59"/>
      <c r="AB1" s="59"/>
      <c r="AC1" s="60"/>
      <c r="AD1" s="58" t="s">
        <v>4</v>
      </c>
      <c r="AE1" s="59"/>
      <c r="AF1" s="59"/>
      <c r="AG1" s="60"/>
      <c r="AH1" s="56"/>
    </row>
    <row r="2" spans="1:34" s="57" customFormat="1" ht="57.9">
      <c r="A2" s="48" t="s">
        <v>92</v>
      </c>
      <c r="B2" s="48" t="s">
        <v>93</v>
      </c>
      <c r="C2" s="48" t="s">
        <v>65</v>
      </c>
      <c r="D2" s="48" t="s">
        <v>66</v>
      </c>
      <c r="E2" s="48" t="s">
        <v>126</v>
      </c>
      <c r="F2" s="48" t="s">
        <v>71</v>
      </c>
      <c r="G2" s="48" t="s">
        <v>5</v>
      </c>
      <c r="H2" s="48" t="s">
        <v>143</v>
      </c>
      <c r="I2" s="48" t="s">
        <v>6</v>
      </c>
      <c r="J2" s="51" t="s">
        <v>7</v>
      </c>
      <c r="K2" s="48" t="s">
        <v>8</v>
      </c>
      <c r="L2" s="48" t="s">
        <v>9</v>
      </c>
      <c r="M2" s="48" t="s">
        <v>10</v>
      </c>
      <c r="N2" s="48" t="s">
        <v>11</v>
      </c>
      <c r="O2" s="48" t="s">
        <v>12</v>
      </c>
      <c r="P2" s="48" t="s">
        <v>13</v>
      </c>
      <c r="Q2" s="48" t="s">
        <v>14</v>
      </c>
      <c r="R2" s="48" t="s">
        <v>15</v>
      </c>
      <c r="S2" s="48" t="s">
        <v>16</v>
      </c>
      <c r="T2" s="48" t="s">
        <v>17</v>
      </c>
      <c r="U2" s="48" t="s">
        <v>18</v>
      </c>
      <c r="V2" s="48" t="s">
        <v>19</v>
      </c>
      <c r="W2" s="48" t="s">
        <v>20</v>
      </c>
      <c r="X2" s="48" t="s">
        <v>21</v>
      </c>
      <c r="Y2" s="48" t="s">
        <v>22</v>
      </c>
      <c r="Z2" s="48" t="s">
        <v>23</v>
      </c>
      <c r="AA2" s="48" t="s">
        <v>24</v>
      </c>
      <c r="AB2" s="48" t="s">
        <v>25</v>
      </c>
      <c r="AC2" s="48" t="s">
        <v>26</v>
      </c>
      <c r="AD2" s="48" t="s">
        <v>27</v>
      </c>
      <c r="AE2" s="48" t="s">
        <v>28</v>
      </c>
      <c r="AF2" s="48" t="s">
        <v>29</v>
      </c>
      <c r="AG2" s="48" t="s">
        <v>30</v>
      </c>
      <c r="AH2" s="48" t="s">
        <v>64</v>
      </c>
    </row>
    <row r="3" spans="1:34" s="12" customFormat="1">
      <c r="A3" s="44" t="s">
        <v>97</v>
      </c>
      <c r="B3" s="12" t="s">
        <v>101</v>
      </c>
      <c r="C3" s="46" t="s">
        <v>67</v>
      </c>
      <c r="D3" s="46" t="s">
        <v>31</v>
      </c>
      <c r="E3" s="46" t="s">
        <v>127</v>
      </c>
      <c r="F3" s="47" t="s">
        <v>72</v>
      </c>
      <c r="G3" s="4" t="s">
        <v>32</v>
      </c>
      <c r="H3" s="4">
        <f>P3/N3</f>
        <v>0.34253829255593465</v>
      </c>
      <c r="I3" s="5">
        <v>986</v>
      </c>
      <c r="J3" s="6">
        <v>26</v>
      </c>
      <c r="K3" s="5">
        <v>8389</v>
      </c>
      <c r="L3" s="5">
        <v>29411.999999999993</v>
      </c>
      <c r="M3" s="5">
        <v>1794.3649999999998</v>
      </c>
      <c r="N3" s="5">
        <v>433543.38999999996</v>
      </c>
      <c r="O3" s="7">
        <v>2485510.1350076073</v>
      </c>
      <c r="P3" s="7">
        <v>148505.21255951165</v>
      </c>
      <c r="Q3" s="8">
        <v>5.9741010327955056E-2</v>
      </c>
      <c r="R3" s="9">
        <v>0.26514545931111844</v>
      </c>
      <c r="S3" s="5">
        <v>280833.59999999998</v>
      </c>
      <c r="T3" s="7">
        <f>+R3*S3</f>
        <v>74461.753861994905</v>
      </c>
      <c r="U3" s="10">
        <f t="shared" ref="U3:U45" si="0">+T3/$P3</f>
        <v>0.50140835179206433</v>
      </c>
      <c r="V3" s="9"/>
      <c r="W3" s="5">
        <v>0</v>
      </c>
      <c r="X3" s="7">
        <f>+V3*W3</f>
        <v>0</v>
      </c>
      <c r="Y3" s="10">
        <f t="shared" ref="Y3:Y45" si="1">+X3/$P3</f>
        <v>0</v>
      </c>
      <c r="Z3" s="9">
        <v>10.909600515325881</v>
      </c>
      <c r="AA3" s="5">
        <v>6787</v>
      </c>
      <c r="AB3" s="7">
        <f>+Z3*AA3</f>
        <v>74043.458697516748</v>
      </c>
      <c r="AC3" s="10">
        <f t="shared" ref="AC3:AC45" si="2">+AB3/$P3</f>
        <v>0.49859164820793572</v>
      </c>
      <c r="AD3" s="9"/>
      <c r="AE3" s="5">
        <v>0</v>
      </c>
      <c r="AF3" s="7">
        <f>+AD3*AE3</f>
        <v>0</v>
      </c>
      <c r="AG3" s="10">
        <f t="shared" ref="AG3:AG45" si="3">+AF3/$P3</f>
        <v>0</v>
      </c>
      <c r="AH3" s="11" t="s">
        <v>33</v>
      </c>
    </row>
    <row r="4" spans="1:34" s="12" customFormat="1">
      <c r="A4" s="44" t="s">
        <v>95</v>
      </c>
      <c r="B4" s="12" t="s">
        <v>112</v>
      </c>
      <c r="C4" s="46" t="s">
        <v>67</v>
      </c>
      <c r="D4" s="46" t="s">
        <v>31</v>
      </c>
      <c r="E4" s="46" t="s">
        <v>127</v>
      </c>
      <c r="F4" s="47" t="s">
        <v>111</v>
      </c>
      <c r="G4" s="4" t="s">
        <v>34</v>
      </c>
      <c r="H4" s="4">
        <f t="shared" ref="H4:H45" si="4">P4/N4</f>
        <v>0.16373501479250283</v>
      </c>
      <c r="I4" s="5">
        <v>966</v>
      </c>
      <c r="J4" s="6">
        <v>20</v>
      </c>
      <c r="K4" s="5">
        <v>1291</v>
      </c>
      <c r="L4" s="5">
        <v>5187.9999999999991</v>
      </c>
      <c r="M4" s="5">
        <v>225.44500000000002</v>
      </c>
      <c r="N4" s="5">
        <v>60010.43</v>
      </c>
      <c r="O4" s="7">
        <v>447889.74583672587</v>
      </c>
      <c r="P4" s="7">
        <v>9825.8086437544553</v>
      </c>
      <c r="Q4" s="8">
        <v>2.1926478039850275E-2</v>
      </c>
      <c r="R4" s="9">
        <v>0.10737714683088387</v>
      </c>
      <c r="S4" s="5">
        <v>51736.36</v>
      </c>
      <c r="T4" s="7">
        <f t="shared" ref="T4:T45" si="5">+R4*S4</f>
        <v>5555.3027242154667</v>
      </c>
      <c r="U4" s="10">
        <f t="shared" si="0"/>
        <v>0.56537868033350769</v>
      </c>
      <c r="V4" s="9">
        <v>3.7592481686082646</v>
      </c>
      <c r="W4" s="5">
        <v>1136</v>
      </c>
      <c r="X4" s="7">
        <f t="shared" ref="X4:X45" si="6">+V4*W4</f>
        <v>4270.5059195389886</v>
      </c>
      <c r="Y4" s="10">
        <f t="shared" si="1"/>
        <v>0.43462131966649231</v>
      </c>
      <c r="Z4" s="9"/>
      <c r="AA4" s="5">
        <v>0</v>
      </c>
      <c r="AB4" s="7">
        <f t="shared" ref="AB4:AB45" si="7">+Z4*AA4</f>
        <v>0</v>
      </c>
      <c r="AC4" s="10">
        <f t="shared" si="2"/>
        <v>0</v>
      </c>
      <c r="AD4" s="9"/>
      <c r="AE4" s="5">
        <v>0</v>
      </c>
      <c r="AF4" s="7">
        <f t="shared" ref="AF4:AF45" si="8">+AD4*AE4</f>
        <v>0</v>
      </c>
      <c r="AG4" s="10">
        <f t="shared" si="3"/>
        <v>0</v>
      </c>
      <c r="AH4" s="11"/>
    </row>
    <row r="5" spans="1:34" s="12" customFormat="1">
      <c r="A5" s="44" t="s">
        <v>96</v>
      </c>
      <c r="B5" s="12" t="s">
        <v>113</v>
      </c>
      <c r="C5" s="46" t="s">
        <v>67</v>
      </c>
      <c r="D5" s="46" t="s">
        <v>31</v>
      </c>
      <c r="E5" s="46" t="s">
        <v>127</v>
      </c>
      <c r="F5" s="47" t="s">
        <v>90</v>
      </c>
      <c r="G5" s="4" t="s">
        <v>35</v>
      </c>
      <c r="H5" s="4">
        <f t="shared" si="4"/>
        <v>0.37613475699041332</v>
      </c>
      <c r="I5" s="5">
        <v>966</v>
      </c>
      <c r="J5" s="6">
        <v>20</v>
      </c>
      <c r="K5" s="5">
        <v>114</v>
      </c>
      <c r="L5" s="5">
        <v>239.99999999999989</v>
      </c>
      <c r="M5" s="5">
        <v>12.987</v>
      </c>
      <c r="N5" s="5">
        <v>3154.21</v>
      </c>
      <c r="O5" s="7">
        <v>27603.818331597071</v>
      </c>
      <c r="P5" s="7">
        <v>1186.4080118467316</v>
      </c>
      <c r="Q5" s="8">
        <v>4.2962443708046562E-2</v>
      </c>
      <c r="R5" s="9">
        <v>0.24923393946315447</v>
      </c>
      <c r="S5" s="5">
        <v>1230.1300000000001</v>
      </c>
      <c r="T5" s="7">
        <f t="shared" si="5"/>
        <v>306.59014595181026</v>
      </c>
      <c r="U5" s="10">
        <f t="shared" si="0"/>
        <v>0.25841880945711088</v>
      </c>
      <c r="V5" s="9">
        <v>5.3001076258730206</v>
      </c>
      <c r="W5" s="5">
        <v>166</v>
      </c>
      <c r="X5" s="7">
        <f t="shared" si="6"/>
        <v>879.8178658949214</v>
      </c>
      <c r="Y5" s="10">
        <f t="shared" si="1"/>
        <v>0.74158119054288918</v>
      </c>
      <c r="Z5" s="9"/>
      <c r="AA5" s="5">
        <v>0</v>
      </c>
      <c r="AB5" s="7">
        <f t="shared" si="7"/>
        <v>0</v>
      </c>
      <c r="AC5" s="10">
        <f t="shared" si="2"/>
        <v>0</v>
      </c>
      <c r="AD5" s="9"/>
      <c r="AE5" s="5">
        <v>0</v>
      </c>
      <c r="AF5" s="7">
        <f t="shared" si="8"/>
        <v>0</v>
      </c>
      <c r="AG5" s="10">
        <f t="shared" si="3"/>
        <v>0</v>
      </c>
      <c r="AH5" s="11"/>
    </row>
    <row r="6" spans="1:34" s="12" customFormat="1">
      <c r="A6" s="44" t="s">
        <v>99</v>
      </c>
      <c r="B6" s="12" t="s">
        <v>101</v>
      </c>
      <c r="C6" s="46" t="s">
        <v>67</v>
      </c>
      <c r="D6" s="46" t="s">
        <v>31</v>
      </c>
      <c r="E6" s="46" t="s">
        <v>127</v>
      </c>
      <c r="F6" s="47" t="s">
        <v>72</v>
      </c>
      <c r="G6" s="13" t="s">
        <v>36</v>
      </c>
      <c r="H6" s="4">
        <f t="shared" si="4"/>
        <v>0.2145336271231143</v>
      </c>
      <c r="I6" s="14">
        <v>986</v>
      </c>
      <c r="J6" s="15">
        <v>26</v>
      </c>
      <c r="K6" s="14">
        <v>31</v>
      </c>
      <c r="L6" s="14">
        <v>147</v>
      </c>
      <c r="M6" s="14">
        <v>6.4359999999999999</v>
      </c>
      <c r="N6" s="14">
        <v>2152.5300000000002</v>
      </c>
      <c r="O6" s="16">
        <v>12248.587570621468</v>
      </c>
      <c r="P6" s="16">
        <v>461.79006839131728</v>
      </c>
      <c r="Q6" s="17">
        <v>3.7701495436006989E-2</v>
      </c>
      <c r="R6" s="18">
        <v>0.19131069874229886</v>
      </c>
      <c r="S6" s="14">
        <v>2054.7800000000002</v>
      </c>
      <c r="T6" s="16">
        <f t="shared" si="5"/>
        <v>393.10139756170088</v>
      </c>
      <c r="U6" s="19">
        <f t="shared" si="0"/>
        <v>0.85125563425627826</v>
      </c>
      <c r="V6" s="18">
        <v>4.2930419268510258</v>
      </c>
      <c r="W6" s="14">
        <v>16</v>
      </c>
      <c r="X6" s="16">
        <f t="shared" si="6"/>
        <v>68.688670829616413</v>
      </c>
      <c r="Y6" s="19">
        <f t="shared" si="1"/>
        <v>0.14874436574372182</v>
      </c>
      <c r="Z6" s="18"/>
      <c r="AA6" s="14">
        <v>0</v>
      </c>
      <c r="AB6" s="16">
        <f t="shared" si="7"/>
        <v>0</v>
      </c>
      <c r="AC6" s="19">
        <f t="shared" si="2"/>
        <v>0</v>
      </c>
      <c r="AD6" s="18"/>
      <c r="AE6" s="14">
        <v>0</v>
      </c>
      <c r="AF6" s="16">
        <f t="shared" si="8"/>
        <v>0</v>
      </c>
      <c r="AG6" s="19">
        <f t="shared" si="3"/>
        <v>0</v>
      </c>
      <c r="AH6" s="20"/>
    </row>
    <row r="7" spans="1:34" s="12" customFormat="1">
      <c r="A7" s="44" t="s">
        <v>98</v>
      </c>
      <c r="B7" s="12" t="s">
        <v>102</v>
      </c>
      <c r="C7" s="46" t="s">
        <v>67</v>
      </c>
      <c r="D7" s="46" t="s">
        <v>37</v>
      </c>
      <c r="E7" s="46" t="s">
        <v>131</v>
      </c>
      <c r="F7" s="47" t="s">
        <v>72</v>
      </c>
      <c r="G7" s="21" t="s">
        <v>38</v>
      </c>
      <c r="H7" s="4">
        <f t="shared" si="4"/>
        <v>0.25635380474595965</v>
      </c>
      <c r="I7" s="22">
        <v>1093</v>
      </c>
      <c r="J7" s="23">
        <v>34</v>
      </c>
      <c r="K7" s="22">
        <v>4303</v>
      </c>
      <c r="L7" s="22">
        <v>18866</v>
      </c>
      <c r="M7" s="22">
        <v>1213.5630000000001</v>
      </c>
      <c r="N7" s="22">
        <v>311782.19</v>
      </c>
      <c r="O7" s="24">
        <v>1733749.9191591064</v>
      </c>
      <c r="P7" s="24">
        <v>79926.550658527689</v>
      </c>
      <c r="Q7" s="25">
        <v>4.6134665026142892E-2</v>
      </c>
      <c r="R7" s="26">
        <v>0.20826833459554331</v>
      </c>
      <c r="S7" s="22">
        <v>280784.54000000004</v>
      </c>
      <c r="T7" s="24">
        <f t="shared" si="5"/>
        <v>58478.528525975722</v>
      </c>
      <c r="U7" s="27">
        <f t="shared" si="0"/>
        <v>0.73165334978379193</v>
      </c>
      <c r="V7" s="26"/>
      <c r="W7" s="22">
        <v>0</v>
      </c>
      <c r="X7" s="24">
        <f t="shared" si="6"/>
        <v>0</v>
      </c>
      <c r="Y7" s="27">
        <f t="shared" si="1"/>
        <v>0</v>
      </c>
      <c r="Z7" s="26">
        <v>7.833463160172375</v>
      </c>
      <c r="AA7" s="22">
        <v>2738</v>
      </c>
      <c r="AB7" s="24">
        <f t="shared" si="7"/>
        <v>21448.022132551963</v>
      </c>
      <c r="AC7" s="27">
        <f t="shared" si="2"/>
        <v>0.26834665021620807</v>
      </c>
      <c r="AD7" s="26"/>
      <c r="AE7" s="22">
        <v>0</v>
      </c>
      <c r="AF7" s="24">
        <f t="shared" si="8"/>
        <v>0</v>
      </c>
      <c r="AG7" s="27">
        <f t="shared" si="3"/>
        <v>0</v>
      </c>
      <c r="AH7" s="28" t="s">
        <v>33</v>
      </c>
    </row>
    <row r="8" spans="1:34" s="12" customFormat="1">
      <c r="A8" s="44" t="s">
        <v>100</v>
      </c>
      <c r="B8" s="12" t="s">
        <v>102</v>
      </c>
      <c r="C8" s="46" t="s">
        <v>67</v>
      </c>
      <c r="D8" s="46" t="s">
        <v>37</v>
      </c>
      <c r="E8" s="46" t="s">
        <v>131</v>
      </c>
      <c r="F8" s="47" t="s">
        <v>72</v>
      </c>
      <c r="G8" s="4" t="s">
        <v>39</v>
      </c>
      <c r="H8" s="4">
        <f t="shared" si="4"/>
        <v>0.26581749702660945</v>
      </c>
      <c r="I8" s="5">
        <v>1093</v>
      </c>
      <c r="J8" s="6">
        <v>34</v>
      </c>
      <c r="K8" s="5">
        <v>21</v>
      </c>
      <c r="L8" s="5">
        <v>252.99999999999892</v>
      </c>
      <c r="M8" s="5">
        <v>248.55699999999999</v>
      </c>
      <c r="N8" s="5">
        <v>60338.7</v>
      </c>
      <c r="O8" s="7">
        <v>159204.95896296619</v>
      </c>
      <c r="P8" s="7">
        <v>16039.082207839478</v>
      </c>
      <c r="Q8" s="8">
        <v>0.10074204136051844</v>
      </c>
      <c r="R8" s="9">
        <v>0.26581749702660945</v>
      </c>
      <c r="S8" s="5">
        <v>60338.7</v>
      </c>
      <c r="T8" s="7">
        <f t="shared" si="5"/>
        <v>16039.082207839479</v>
      </c>
      <c r="U8" s="10">
        <f t="shared" si="0"/>
        <v>1.0000000000000002</v>
      </c>
      <c r="V8" s="9"/>
      <c r="W8" s="5">
        <v>0</v>
      </c>
      <c r="X8" s="7">
        <f t="shared" si="6"/>
        <v>0</v>
      </c>
      <c r="Y8" s="10">
        <f t="shared" si="1"/>
        <v>0</v>
      </c>
      <c r="Z8" s="9"/>
      <c r="AA8" s="5">
        <v>0</v>
      </c>
      <c r="AB8" s="7">
        <f t="shared" si="7"/>
        <v>0</v>
      </c>
      <c r="AC8" s="10">
        <f t="shared" si="2"/>
        <v>0</v>
      </c>
      <c r="AD8" s="9"/>
      <c r="AE8" s="5">
        <v>0</v>
      </c>
      <c r="AF8" s="7">
        <f t="shared" si="8"/>
        <v>0</v>
      </c>
      <c r="AG8" s="10">
        <f t="shared" si="3"/>
        <v>0</v>
      </c>
      <c r="AH8" s="11"/>
    </row>
    <row r="9" spans="1:34" s="12" customFormat="1">
      <c r="A9" s="44" t="s">
        <v>91</v>
      </c>
      <c r="B9" s="12" t="s">
        <v>102</v>
      </c>
      <c r="C9" s="46" t="s">
        <v>67</v>
      </c>
      <c r="D9" s="46" t="s">
        <v>37</v>
      </c>
      <c r="E9" s="46" t="s">
        <v>131</v>
      </c>
      <c r="F9" s="47" t="s">
        <v>72</v>
      </c>
      <c r="G9" s="4" t="s">
        <v>40</v>
      </c>
      <c r="H9" s="4">
        <f t="shared" si="4"/>
        <v>0.23627021438518017</v>
      </c>
      <c r="I9" s="5">
        <v>1093</v>
      </c>
      <c r="J9" s="6">
        <v>34</v>
      </c>
      <c r="K9" s="5">
        <v>114</v>
      </c>
      <c r="L9" s="5">
        <v>518</v>
      </c>
      <c r="M9" s="5">
        <v>117.38300000000001</v>
      </c>
      <c r="N9" s="5">
        <v>29938.89</v>
      </c>
      <c r="O9" s="7">
        <v>103689.17994813804</v>
      </c>
      <c r="P9" s="7">
        <v>7073.6679587543267</v>
      </c>
      <c r="Q9" s="8">
        <v>6.8317357229837325E-2</v>
      </c>
      <c r="R9" s="9">
        <v>0.23627021438518017</v>
      </c>
      <c r="S9" s="5">
        <v>29938.89</v>
      </c>
      <c r="T9" s="7">
        <f t="shared" si="5"/>
        <v>7073.6679587543267</v>
      </c>
      <c r="U9" s="10">
        <f t="shared" si="0"/>
        <v>1</v>
      </c>
      <c r="V9" s="9"/>
      <c r="W9" s="5">
        <v>0</v>
      </c>
      <c r="X9" s="7">
        <f t="shared" si="6"/>
        <v>0</v>
      </c>
      <c r="Y9" s="10">
        <f t="shared" si="1"/>
        <v>0</v>
      </c>
      <c r="Z9" s="9"/>
      <c r="AA9" s="5">
        <v>0</v>
      </c>
      <c r="AB9" s="7">
        <f t="shared" si="7"/>
        <v>0</v>
      </c>
      <c r="AC9" s="10">
        <f t="shared" si="2"/>
        <v>0</v>
      </c>
      <c r="AD9" s="9"/>
      <c r="AE9" s="5">
        <v>0</v>
      </c>
      <c r="AF9" s="7">
        <f t="shared" si="8"/>
        <v>0</v>
      </c>
      <c r="AG9" s="10">
        <f t="shared" si="3"/>
        <v>0</v>
      </c>
      <c r="AH9" s="11" t="s">
        <v>41</v>
      </c>
    </row>
    <row r="10" spans="1:34" s="12" customFormat="1">
      <c r="A10" s="44" t="s">
        <v>95</v>
      </c>
      <c r="B10" s="12" t="s">
        <v>114</v>
      </c>
      <c r="C10" s="46" t="s">
        <v>67</v>
      </c>
      <c r="D10" s="46" t="s">
        <v>37</v>
      </c>
      <c r="E10" s="46" t="s">
        <v>131</v>
      </c>
      <c r="F10" s="47" t="s">
        <v>89</v>
      </c>
      <c r="G10" s="4" t="s">
        <v>34</v>
      </c>
      <c r="H10" s="4">
        <f t="shared" si="4"/>
        <v>0.27038859800727905</v>
      </c>
      <c r="I10" s="5">
        <v>1752</v>
      </c>
      <c r="J10" s="6">
        <v>48</v>
      </c>
      <c r="K10" s="5">
        <v>847</v>
      </c>
      <c r="L10" s="5">
        <v>2409</v>
      </c>
      <c r="M10" s="5">
        <v>108.069</v>
      </c>
      <c r="N10" s="5">
        <v>25843.309999999998</v>
      </c>
      <c r="O10" s="7">
        <v>190916.55153670293</v>
      </c>
      <c r="P10" s="7">
        <v>6987.7363587674945</v>
      </c>
      <c r="Q10" s="8">
        <v>3.6589746029894364E-2</v>
      </c>
      <c r="R10" s="9">
        <v>0.19281523096739739</v>
      </c>
      <c r="S10" s="5">
        <v>19994.340000000004</v>
      </c>
      <c r="T10" s="7">
        <f t="shared" si="5"/>
        <v>3855.2132851406732</v>
      </c>
      <c r="U10" s="10">
        <f t="shared" si="0"/>
        <v>0.5517113249848854</v>
      </c>
      <c r="V10" s="9">
        <v>3.7741241850925564</v>
      </c>
      <c r="W10" s="5">
        <v>830</v>
      </c>
      <c r="X10" s="7">
        <f t="shared" si="6"/>
        <v>3132.5230736268218</v>
      </c>
      <c r="Y10" s="10">
        <f t="shared" si="1"/>
        <v>0.4482886750151146</v>
      </c>
      <c r="Z10" s="9"/>
      <c r="AA10" s="5">
        <v>0</v>
      </c>
      <c r="AB10" s="7">
        <f t="shared" si="7"/>
        <v>0</v>
      </c>
      <c r="AC10" s="10">
        <f t="shared" si="2"/>
        <v>0</v>
      </c>
      <c r="AD10" s="9"/>
      <c r="AE10" s="5">
        <v>0</v>
      </c>
      <c r="AF10" s="7">
        <f t="shared" si="8"/>
        <v>0</v>
      </c>
      <c r="AG10" s="10">
        <f t="shared" si="3"/>
        <v>0</v>
      </c>
      <c r="AH10" s="11"/>
    </row>
    <row r="11" spans="1:34" s="12" customFormat="1">
      <c r="A11" s="44" t="s">
        <v>91</v>
      </c>
      <c r="B11" s="12" t="s">
        <v>102</v>
      </c>
      <c r="C11" s="46" t="s">
        <v>67</v>
      </c>
      <c r="D11" s="46" t="s">
        <v>37</v>
      </c>
      <c r="E11" s="46" t="s">
        <v>131</v>
      </c>
      <c r="F11" s="47" t="s">
        <v>72</v>
      </c>
      <c r="G11" s="4" t="s">
        <v>42</v>
      </c>
      <c r="H11" s="4">
        <f t="shared" si="4"/>
        <v>0.26364146128691834</v>
      </c>
      <c r="I11" s="5">
        <v>1093</v>
      </c>
      <c r="J11" s="6">
        <v>34</v>
      </c>
      <c r="K11" s="5">
        <v>44</v>
      </c>
      <c r="L11" s="5">
        <v>568</v>
      </c>
      <c r="M11" s="5">
        <v>97.496000000000009</v>
      </c>
      <c r="N11" s="5">
        <v>25622.55</v>
      </c>
      <c r="O11" s="7">
        <v>89452.718947580637</v>
      </c>
      <c r="P11" s="7">
        <v>6755.1665238971291</v>
      </c>
      <c r="Q11" s="8">
        <v>7.5661614280018566E-2</v>
      </c>
      <c r="R11" s="9">
        <v>0.26364146128691834</v>
      </c>
      <c r="S11" s="5">
        <v>25622.55</v>
      </c>
      <c r="T11" s="7">
        <f t="shared" si="5"/>
        <v>6755.1665238971291</v>
      </c>
      <c r="U11" s="10">
        <f t="shared" si="0"/>
        <v>1</v>
      </c>
      <c r="V11" s="9"/>
      <c r="W11" s="5">
        <v>0</v>
      </c>
      <c r="X11" s="7">
        <f t="shared" si="6"/>
        <v>0</v>
      </c>
      <c r="Y11" s="10">
        <f t="shared" si="1"/>
        <v>0</v>
      </c>
      <c r="Z11" s="9"/>
      <c r="AA11" s="5">
        <v>0</v>
      </c>
      <c r="AB11" s="7">
        <f t="shared" si="7"/>
        <v>0</v>
      </c>
      <c r="AC11" s="10">
        <f t="shared" si="2"/>
        <v>0</v>
      </c>
      <c r="AD11" s="9"/>
      <c r="AE11" s="5">
        <v>0</v>
      </c>
      <c r="AF11" s="7">
        <f t="shared" si="8"/>
        <v>0</v>
      </c>
      <c r="AG11" s="10">
        <f t="shared" si="3"/>
        <v>0</v>
      </c>
      <c r="AH11" s="11" t="s">
        <v>41</v>
      </c>
    </row>
    <row r="12" spans="1:34" s="12" customFormat="1">
      <c r="A12" s="44" t="s">
        <v>91</v>
      </c>
      <c r="B12" s="12" t="s">
        <v>102</v>
      </c>
      <c r="C12" s="46" t="s">
        <v>67</v>
      </c>
      <c r="D12" s="46" t="s">
        <v>37</v>
      </c>
      <c r="E12" s="46" t="s">
        <v>131</v>
      </c>
      <c r="F12" s="47" t="s">
        <v>72</v>
      </c>
      <c r="G12" s="4" t="s">
        <v>43</v>
      </c>
      <c r="H12" s="4">
        <f t="shared" si="4"/>
        <v>0.37865402408414306</v>
      </c>
      <c r="I12" s="5">
        <v>1093</v>
      </c>
      <c r="J12" s="6">
        <v>34</v>
      </c>
      <c r="K12" s="5">
        <v>3</v>
      </c>
      <c r="L12" s="5">
        <v>33</v>
      </c>
      <c r="M12" s="5">
        <v>53.103999999999999</v>
      </c>
      <c r="N12" s="5">
        <v>13024.62</v>
      </c>
      <c r="O12" s="7">
        <v>31492.022048157818</v>
      </c>
      <c r="P12" s="7">
        <v>4931.8247751668114</v>
      </c>
      <c r="Q12" s="8">
        <v>0.15660552909638609</v>
      </c>
      <c r="R12" s="9">
        <v>0.37865402408414306</v>
      </c>
      <c r="S12" s="5">
        <v>13024.62</v>
      </c>
      <c r="T12" s="7">
        <f t="shared" si="5"/>
        <v>4931.8247751668114</v>
      </c>
      <c r="U12" s="10">
        <f t="shared" si="0"/>
        <v>1</v>
      </c>
      <c r="V12" s="9"/>
      <c r="W12" s="5">
        <v>0</v>
      </c>
      <c r="X12" s="7">
        <f t="shared" si="6"/>
        <v>0</v>
      </c>
      <c r="Y12" s="10">
        <f t="shared" si="1"/>
        <v>0</v>
      </c>
      <c r="Z12" s="9"/>
      <c r="AA12" s="5">
        <v>0</v>
      </c>
      <c r="AB12" s="7">
        <f t="shared" si="7"/>
        <v>0</v>
      </c>
      <c r="AC12" s="10">
        <f t="shared" si="2"/>
        <v>0</v>
      </c>
      <c r="AD12" s="9"/>
      <c r="AE12" s="5">
        <v>0</v>
      </c>
      <c r="AF12" s="7">
        <f t="shared" si="8"/>
        <v>0</v>
      </c>
      <c r="AG12" s="10">
        <f t="shared" si="3"/>
        <v>0</v>
      </c>
      <c r="AH12" s="11" t="s">
        <v>41</v>
      </c>
    </row>
    <row r="13" spans="1:34" s="12" customFormat="1">
      <c r="A13" s="44" t="s">
        <v>96</v>
      </c>
      <c r="B13" s="12" t="s">
        <v>102</v>
      </c>
      <c r="C13" s="46" t="s">
        <v>67</v>
      </c>
      <c r="D13" s="46" t="s">
        <v>37</v>
      </c>
      <c r="E13" s="46" t="s">
        <v>131</v>
      </c>
      <c r="F13" s="47" t="s">
        <v>88</v>
      </c>
      <c r="G13" s="13" t="s">
        <v>35</v>
      </c>
      <c r="H13" s="4">
        <f t="shared" si="4"/>
        <v>0.26676848268596043</v>
      </c>
      <c r="I13" s="14">
        <v>1093</v>
      </c>
      <c r="J13" s="15">
        <v>34</v>
      </c>
      <c r="K13" s="14">
        <v>10</v>
      </c>
      <c r="L13" s="14">
        <v>66.999999999999901</v>
      </c>
      <c r="M13" s="14">
        <v>2.4870000000000001</v>
      </c>
      <c r="N13" s="14">
        <v>1074.68</v>
      </c>
      <c r="O13" s="16">
        <v>5859.1539396876269</v>
      </c>
      <c r="P13" s="16">
        <v>286.69075297294796</v>
      </c>
      <c r="Q13" s="17">
        <v>4.8933816133574733E-2</v>
      </c>
      <c r="R13" s="18">
        <v>0.26003765278405222</v>
      </c>
      <c r="S13" s="14">
        <v>1054.47</v>
      </c>
      <c r="T13" s="16">
        <f t="shared" si="5"/>
        <v>274.20190373119954</v>
      </c>
      <c r="U13" s="19">
        <f t="shared" si="0"/>
        <v>0.95643790700522924</v>
      </c>
      <c r="V13" s="18">
        <v>6.2444246208742191</v>
      </c>
      <c r="W13" s="14">
        <v>2</v>
      </c>
      <c r="X13" s="16">
        <f t="shared" si="6"/>
        <v>12.488849241748438</v>
      </c>
      <c r="Y13" s="19">
        <f t="shared" si="1"/>
        <v>4.3562092994770853E-2</v>
      </c>
      <c r="Z13" s="18"/>
      <c r="AA13" s="14">
        <v>0</v>
      </c>
      <c r="AB13" s="16">
        <f t="shared" si="7"/>
        <v>0</v>
      </c>
      <c r="AC13" s="19">
        <f t="shared" si="2"/>
        <v>0</v>
      </c>
      <c r="AD13" s="18"/>
      <c r="AE13" s="14">
        <v>0</v>
      </c>
      <c r="AF13" s="16">
        <f t="shared" si="8"/>
        <v>0</v>
      </c>
      <c r="AG13" s="19">
        <f t="shared" si="3"/>
        <v>0</v>
      </c>
      <c r="AH13" s="20"/>
    </row>
    <row r="14" spans="1:34" s="12" customFormat="1">
      <c r="A14" s="44" t="s">
        <v>97</v>
      </c>
      <c r="B14" s="12" t="s">
        <v>103</v>
      </c>
      <c r="C14" s="46" t="s">
        <v>67</v>
      </c>
      <c r="D14" s="46" t="s">
        <v>68</v>
      </c>
      <c r="E14" s="46" t="s">
        <v>139</v>
      </c>
      <c r="F14" s="47" t="s">
        <v>72</v>
      </c>
      <c r="G14" s="21" t="s">
        <v>32</v>
      </c>
      <c r="H14" s="4">
        <f t="shared" si="4"/>
        <v>0.1846054713542839</v>
      </c>
      <c r="I14" s="22">
        <v>340</v>
      </c>
      <c r="J14" s="23">
        <v>9</v>
      </c>
      <c r="K14" s="22">
        <v>2132</v>
      </c>
      <c r="L14" s="22">
        <v>9538</v>
      </c>
      <c r="M14" s="22">
        <v>838.56100000000015</v>
      </c>
      <c r="N14" s="22">
        <v>199156.76000000004</v>
      </c>
      <c r="O14" s="24">
        <v>1046038.5635438432</v>
      </c>
      <c r="P14" s="24">
        <v>36765.427553191999</v>
      </c>
      <c r="Q14" s="25">
        <v>3.5139927725018907E-2</v>
      </c>
      <c r="R14" s="26">
        <v>0.15179789318282394</v>
      </c>
      <c r="S14" s="22">
        <v>140710.29</v>
      </c>
      <c r="T14" s="24">
        <f t="shared" si="5"/>
        <v>21359.525571144182</v>
      </c>
      <c r="U14" s="27">
        <f t="shared" si="0"/>
        <v>0.5809676914607167</v>
      </c>
      <c r="V14" s="26"/>
      <c r="W14" s="22">
        <v>0</v>
      </c>
      <c r="X14" s="24">
        <f t="shared" si="6"/>
        <v>0</v>
      </c>
      <c r="Y14" s="27">
        <f t="shared" si="1"/>
        <v>0</v>
      </c>
      <c r="Z14" s="26">
        <v>9.7567460304292695</v>
      </c>
      <c r="AA14" s="22">
        <v>1579</v>
      </c>
      <c r="AB14" s="24">
        <f t="shared" si="7"/>
        <v>15405.901982047817</v>
      </c>
      <c r="AC14" s="27">
        <f t="shared" si="2"/>
        <v>0.4190323085392833</v>
      </c>
      <c r="AD14" s="26"/>
      <c r="AE14" s="22">
        <v>0</v>
      </c>
      <c r="AF14" s="24">
        <f t="shared" si="8"/>
        <v>0</v>
      </c>
      <c r="AG14" s="27">
        <f t="shared" si="3"/>
        <v>0</v>
      </c>
      <c r="AH14" s="28" t="s">
        <v>44</v>
      </c>
    </row>
    <row r="15" spans="1:34" s="12" customFormat="1">
      <c r="A15" s="44" t="s">
        <v>91</v>
      </c>
      <c r="B15" s="12" t="s">
        <v>103</v>
      </c>
      <c r="C15" s="46" t="s">
        <v>67</v>
      </c>
      <c r="D15" s="46" t="s">
        <v>68</v>
      </c>
      <c r="E15" s="46" t="s">
        <v>139</v>
      </c>
      <c r="F15" s="47" t="s">
        <v>72</v>
      </c>
      <c r="G15" s="4" t="s">
        <v>40</v>
      </c>
      <c r="H15" s="4">
        <f t="shared" si="4"/>
        <v>0.53176204152752071</v>
      </c>
      <c r="I15" s="5">
        <v>340</v>
      </c>
      <c r="J15" s="6">
        <v>9</v>
      </c>
      <c r="K15" s="5">
        <v>113</v>
      </c>
      <c r="L15" s="5">
        <v>381</v>
      </c>
      <c r="M15" s="5">
        <v>17.135999999999999</v>
      </c>
      <c r="N15" s="5">
        <v>3818.91</v>
      </c>
      <c r="O15" s="7">
        <v>31605.454017986653</v>
      </c>
      <c r="P15" s="7">
        <v>2030.7513780098639</v>
      </c>
      <c r="Q15" s="8">
        <v>6.4253194301659572E-2</v>
      </c>
      <c r="R15" s="9">
        <v>0.53176204152752071</v>
      </c>
      <c r="S15" s="5">
        <v>3818.91</v>
      </c>
      <c r="T15" s="7">
        <f t="shared" si="5"/>
        <v>2030.7513780098641</v>
      </c>
      <c r="U15" s="10">
        <f t="shared" si="0"/>
        <v>1.0000000000000002</v>
      </c>
      <c r="V15" s="9"/>
      <c r="W15" s="5">
        <v>0</v>
      </c>
      <c r="X15" s="7">
        <f t="shared" si="6"/>
        <v>0</v>
      </c>
      <c r="Y15" s="10">
        <f t="shared" si="1"/>
        <v>0</v>
      </c>
      <c r="Z15" s="9"/>
      <c r="AA15" s="5">
        <v>0</v>
      </c>
      <c r="AB15" s="7">
        <f t="shared" si="7"/>
        <v>0</v>
      </c>
      <c r="AC15" s="10">
        <f t="shared" si="2"/>
        <v>0</v>
      </c>
      <c r="AD15" s="9"/>
      <c r="AE15" s="5">
        <v>0</v>
      </c>
      <c r="AF15" s="7">
        <f t="shared" si="8"/>
        <v>0</v>
      </c>
      <c r="AG15" s="10">
        <f t="shared" si="3"/>
        <v>0</v>
      </c>
      <c r="AH15" s="11" t="s">
        <v>41</v>
      </c>
    </row>
    <row r="16" spans="1:34" s="12" customFormat="1">
      <c r="A16" s="44" t="s">
        <v>91</v>
      </c>
      <c r="B16" s="12" t="s">
        <v>103</v>
      </c>
      <c r="C16" s="46" t="s">
        <v>67</v>
      </c>
      <c r="D16" s="46" t="s">
        <v>68</v>
      </c>
      <c r="E16" s="46" t="s">
        <v>139</v>
      </c>
      <c r="F16" s="47" t="s">
        <v>72</v>
      </c>
      <c r="G16" s="13" t="s">
        <v>42</v>
      </c>
      <c r="H16" s="4">
        <f t="shared" si="4"/>
        <v>0.69302040002570331</v>
      </c>
      <c r="I16" s="14">
        <v>340</v>
      </c>
      <c r="J16" s="15">
        <v>9</v>
      </c>
      <c r="K16" s="14">
        <v>41</v>
      </c>
      <c r="L16" s="14">
        <v>135</v>
      </c>
      <c r="M16" s="14">
        <v>7.6890000000000001</v>
      </c>
      <c r="N16" s="14">
        <v>1611.66</v>
      </c>
      <c r="O16" s="16">
        <v>11648.970118944009</v>
      </c>
      <c r="P16" s="16">
        <v>1116.9132579054251</v>
      </c>
      <c r="Q16" s="17">
        <v>9.5880858694027987E-2</v>
      </c>
      <c r="R16" s="18">
        <v>0.69302040002570331</v>
      </c>
      <c r="S16" s="14">
        <v>1611.66</v>
      </c>
      <c r="T16" s="16">
        <f t="shared" si="5"/>
        <v>1116.9132579054251</v>
      </c>
      <c r="U16" s="19">
        <f t="shared" si="0"/>
        <v>1</v>
      </c>
      <c r="V16" s="18"/>
      <c r="W16" s="14">
        <v>0</v>
      </c>
      <c r="X16" s="16">
        <f t="shared" si="6"/>
        <v>0</v>
      </c>
      <c r="Y16" s="19">
        <f t="shared" si="1"/>
        <v>0</v>
      </c>
      <c r="Z16" s="18"/>
      <c r="AA16" s="14">
        <v>0</v>
      </c>
      <c r="AB16" s="16">
        <f t="shared" si="7"/>
        <v>0</v>
      </c>
      <c r="AC16" s="19">
        <f t="shared" si="2"/>
        <v>0</v>
      </c>
      <c r="AD16" s="18"/>
      <c r="AE16" s="14">
        <v>0</v>
      </c>
      <c r="AF16" s="16">
        <f t="shared" si="8"/>
        <v>0</v>
      </c>
      <c r="AG16" s="19">
        <f t="shared" si="3"/>
        <v>0</v>
      </c>
      <c r="AH16" s="20" t="s">
        <v>41</v>
      </c>
    </row>
    <row r="17" spans="1:34" s="12" customFormat="1">
      <c r="A17" s="44" t="s">
        <v>95</v>
      </c>
      <c r="B17" s="12" t="s">
        <v>115</v>
      </c>
      <c r="C17" s="46" t="s">
        <v>67</v>
      </c>
      <c r="D17" s="46" t="s">
        <v>45</v>
      </c>
      <c r="E17" s="46" t="s">
        <v>132</v>
      </c>
      <c r="F17" s="47" t="s">
        <v>79</v>
      </c>
      <c r="G17" s="29" t="s">
        <v>34</v>
      </c>
      <c r="H17" s="4">
        <f t="shared" si="4"/>
        <v>0.22240549617447206</v>
      </c>
      <c r="I17" s="30">
        <v>1190</v>
      </c>
      <c r="J17" s="31">
        <v>28</v>
      </c>
      <c r="K17" s="30">
        <v>2076</v>
      </c>
      <c r="L17" s="30">
        <v>5962.9999999999991</v>
      </c>
      <c r="M17" s="30">
        <v>396.39299999999992</v>
      </c>
      <c r="N17" s="30">
        <v>91092.75999999998</v>
      </c>
      <c r="O17" s="32">
        <v>515007.68096912774</v>
      </c>
      <c r="P17" s="32">
        <v>20259.530485702096</v>
      </c>
      <c r="Q17" s="33">
        <v>3.9341840497500662E-2</v>
      </c>
      <c r="R17" s="34">
        <v>0.15169817356782278</v>
      </c>
      <c r="S17" s="30">
        <v>75350.710000000006</v>
      </c>
      <c r="T17" s="32">
        <f t="shared" si="5"/>
        <v>11430.565084038681</v>
      </c>
      <c r="U17" s="35">
        <f t="shared" si="0"/>
        <v>0.56420681081951307</v>
      </c>
      <c r="V17" s="34">
        <v>3.7634123621753668</v>
      </c>
      <c r="W17" s="30">
        <v>2346</v>
      </c>
      <c r="X17" s="32">
        <f t="shared" si="6"/>
        <v>8828.9654016634104</v>
      </c>
      <c r="Y17" s="35">
        <f t="shared" si="1"/>
        <v>0.43579318918048665</v>
      </c>
      <c r="Z17" s="34"/>
      <c r="AA17" s="30">
        <v>0</v>
      </c>
      <c r="AB17" s="32">
        <f t="shared" si="7"/>
        <v>0</v>
      </c>
      <c r="AC17" s="35">
        <f t="shared" si="2"/>
        <v>0</v>
      </c>
      <c r="AD17" s="34"/>
      <c r="AE17" s="30">
        <v>0</v>
      </c>
      <c r="AF17" s="32">
        <f t="shared" si="8"/>
        <v>0</v>
      </c>
      <c r="AG17" s="35">
        <f t="shared" si="3"/>
        <v>0</v>
      </c>
      <c r="AH17" s="36"/>
    </row>
    <row r="18" spans="1:34" s="12" customFormat="1">
      <c r="A18" s="44" t="s">
        <v>96</v>
      </c>
      <c r="B18" s="12" t="s">
        <v>104</v>
      </c>
      <c r="C18" s="46" t="s">
        <v>67</v>
      </c>
      <c r="D18" s="46" t="s">
        <v>46</v>
      </c>
      <c r="E18" s="46" t="s">
        <v>128</v>
      </c>
      <c r="F18" s="47" t="s">
        <v>87</v>
      </c>
      <c r="G18" s="21" t="s">
        <v>35</v>
      </c>
      <c r="H18" s="4">
        <f t="shared" si="4"/>
        <v>0.32474064274879783</v>
      </c>
      <c r="I18" s="22">
        <v>766</v>
      </c>
      <c r="J18" s="23">
        <v>18</v>
      </c>
      <c r="K18" s="22">
        <v>1881</v>
      </c>
      <c r="L18" s="22">
        <v>5030</v>
      </c>
      <c r="M18" s="22">
        <v>384.83199999999999</v>
      </c>
      <c r="N18" s="22">
        <v>91180.349999999991</v>
      </c>
      <c r="O18" s="24">
        <v>532783.45695877541</v>
      </c>
      <c r="P18" s="24">
        <v>29609.965465060344</v>
      </c>
      <c r="Q18" s="25">
        <v>5.5570451913912876E-2</v>
      </c>
      <c r="R18" s="26">
        <v>0.23417569129425653</v>
      </c>
      <c r="S18" s="22">
        <v>67919.259999999995</v>
      </c>
      <c r="T18" s="24">
        <f t="shared" si="5"/>
        <v>15905.039662694344</v>
      </c>
      <c r="U18" s="27">
        <f t="shared" si="0"/>
        <v>0.53715157761538879</v>
      </c>
      <c r="V18" s="26">
        <v>5.1425612766851767</v>
      </c>
      <c r="W18" s="22">
        <v>2665</v>
      </c>
      <c r="X18" s="24">
        <f t="shared" si="6"/>
        <v>13704.925802365997</v>
      </c>
      <c r="Y18" s="27">
        <f t="shared" si="1"/>
        <v>0.46284842238461105</v>
      </c>
      <c r="Z18" s="26"/>
      <c r="AA18" s="22">
        <v>0</v>
      </c>
      <c r="AB18" s="24">
        <f t="shared" si="7"/>
        <v>0</v>
      </c>
      <c r="AC18" s="27">
        <f t="shared" si="2"/>
        <v>0</v>
      </c>
      <c r="AD18" s="26"/>
      <c r="AE18" s="22">
        <v>0</v>
      </c>
      <c r="AF18" s="24">
        <f t="shared" si="8"/>
        <v>0</v>
      </c>
      <c r="AG18" s="27">
        <f t="shared" si="3"/>
        <v>0</v>
      </c>
      <c r="AH18" s="37" t="s">
        <v>47</v>
      </c>
    </row>
    <row r="19" spans="1:34" s="12" customFormat="1">
      <c r="A19" s="44" t="s">
        <v>100</v>
      </c>
      <c r="B19" s="12" t="s">
        <v>104</v>
      </c>
      <c r="C19" s="46" t="s">
        <v>67</v>
      </c>
      <c r="D19" s="46" t="s">
        <v>46</v>
      </c>
      <c r="E19" s="46" t="s">
        <v>128</v>
      </c>
      <c r="F19" s="47" t="s">
        <v>72</v>
      </c>
      <c r="G19" s="4" t="s">
        <v>39</v>
      </c>
      <c r="H19" s="4">
        <f t="shared" si="4"/>
        <v>0.31841943135137601</v>
      </c>
      <c r="I19" s="5">
        <v>766</v>
      </c>
      <c r="J19" s="6">
        <v>17</v>
      </c>
      <c r="K19" s="5">
        <v>41</v>
      </c>
      <c r="L19" s="5">
        <v>76.999999999999901</v>
      </c>
      <c r="M19" s="5">
        <v>91.087000000000003</v>
      </c>
      <c r="N19" s="5">
        <v>22025.03</v>
      </c>
      <c r="O19" s="7">
        <v>58606.058632645356</v>
      </c>
      <c r="P19" s="7">
        <v>7013.1975280969964</v>
      </c>
      <c r="Q19" s="8">
        <v>0.11966539622828293</v>
      </c>
      <c r="R19" s="9">
        <v>0.31841943135137601</v>
      </c>
      <c r="S19" s="5">
        <v>22025.03</v>
      </c>
      <c r="T19" s="7">
        <f t="shared" si="5"/>
        <v>7013.1975280969973</v>
      </c>
      <c r="U19" s="10">
        <f t="shared" si="0"/>
        <v>1.0000000000000002</v>
      </c>
      <c r="V19" s="9"/>
      <c r="W19" s="5">
        <v>0</v>
      </c>
      <c r="X19" s="7">
        <f t="shared" si="6"/>
        <v>0</v>
      </c>
      <c r="Y19" s="10">
        <f t="shared" si="1"/>
        <v>0</v>
      </c>
      <c r="Z19" s="9"/>
      <c r="AA19" s="5">
        <v>0</v>
      </c>
      <c r="AB19" s="7">
        <f t="shared" si="7"/>
        <v>0</v>
      </c>
      <c r="AC19" s="10">
        <f t="shared" si="2"/>
        <v>0</v>
      </c>
      <c r="AD19" s="9"/>
      <c r="AE19" s="5">
        <v>0</v>
      </c>
      <c r="AF19" s="7">
        <f t="shared" si="8"/>
        <v>0</v>
      </c>
      <c r="AG19" s="10">
        <f t="shared" si="3"/>
        <v>0</v>
      </c>
      <c r="AH19" s="11" t="s">
        <v>41</v>
      </c>
    </row>
    <row r="20" spans="1:34" s="12" customFormat="1">
      <c r="A20" s="44" t="s">
        <v>91</v>
      </c>
      <c r="B20" s="12" t="s">
        <v>104</v>
      </c>
      <c r="C20" s="46" t="s">
        <v>67</v>
      </c>
      <c r="D20" s="46" t="s">
        <v>46</v>
      </c>
      <c r="E20" s="46" t="s">
        <v>128</v>
      </c>
      <c r="F20" s="47" t="s">
        <v>72</v>
      </c>
      <c r="G20" s="4" t="s">
        <v>42</v>
      </c>
      <c r="H20" s="4">
        <f t="shared" si="4"/>
        <v>0.30410688375974204</v>
      </c>
      <c r="I20" s="5">
        <v>766</v>
      </c>
      <c r="J20" s="6">
        <v>17</v>
      </c>
      <c r="K20" s="5">
        <v>1</v>
      </c>
      <c r="L20" s="5">
        <v>1</v>
      </c>
      <c r="M20" s="5">
        <v>17.449000000000002</v>
      </c>
      <c r="N20" s="5">
        <v>4258.5</v>
      </c>
      <c r="O20" s="7">
        <v>10275.60197272991</v>
      </c>
      <c r="P20" s="7">
        <v>1295.0391644908616</v>
      </c>
      <c r="Q20" s="8">
        <v>0.12603049124788254</v>
      </c>
      <c r="R20" s="9">
        <v>0.30410688375974204</v>
      </c>
      <c r="S20" s="5">
        <v>4258.5</v>
      </c>
      <c r="T20" s="7">
        <f t="shared" si="5"/>
        <v>1295.0391644908616</v>
      </c>
      <c r="U20" s="10">
        <f t="shared" si="0"/>
        <v>1</v>
      </c>
      <c r="V20" s="9"/>
      <c r="W20" s="5">
        <v>0</v>
      </c>
      <c r="X20" s="7">
        <f t="shared" si="6"/>
        <v>0</v>
      </c>
      <c r="Y20" s="10">
        <f t="shared" si="1"/>
        <v>0</v>
      </c>
      <c r="Z20" s="9"/>
      <c r="AA20" s="5">
        <v>0</v>
      </c>
      <c r="AB20" s="7">
        <f t="shared" si="7"/>
        <v>0</v>
      </c>
      <c r="AC20" s="10">
        <f t="shared" si="2"/>
        <v>0</v>
      </c>
      <c r="AD20" s="9"/>
      <c r="AE20" s="5">
        <v>0</v>
      </c>
      <c r="AF20" s="7">
        <f t="shared" si="8"/>
        <v>0</v>
      </c>
      <c r="AG20" s="10">
        <f t="shared" si="3"/>
        <v>0</v>
      </c>
      <c r="AH20" s="11" t="s">
        <v>41</v>
      </c>
    </row>
    <row r="21" spans="1:34" s="12" customFormat="1">
      <c r="A21" s="44" t="s">
        <v>91</v>
      </c>
      <c r="B21" s="12" t="s">
        <v>104</v>
      </c>
      <c r="C21" s="46" t="s">
        <v>67</v>
      </c>
      <c r="D21" s="46" t="s">
        <v>46</v>
      </c>
      <c r="E21" s="46" t="s">
        <v>128</v>
      </c>
      <c r="F21" s="47" t="s">
        <v>72</v>
      </c>
      <c r="G21" s="13" t="s">
        <v>40</v>
      </c>
      <c r="H21" s="4">
        <f t="shared" si="4"/>
        <v>0.26031518696014067</v>
      </c>
      <c r="I21" s="14">
        <v>766</v>
      </c>
      <c r="J21" s="15">
        <v>17</v>
      </c>
      <c r="K21" s="14">
        <v>18</v>
      </c>
      <c r="L21" s="14">
        <v>31.999999999999901</v>
      </c>
      <c r="M21" s="14">
        <v>18.924999999999997</v>
      </c>
      <c r="N21" s="14">
        <v>4571.8499999999995</v>
      </c>
      <c r="O21" s="16">
        <v>13122.582564712882</v>
      </c>
      <c r="P21" s="16">
        <v>1190.1219875037191</v>
      </c>
      <c r="Q21" s="17">
        <v>9.0692665230699465E-2</v>
      </c>
      <c r="R21" s="18">
        <v>0.26031518696014067</v>
      </c>
      <c r="S21" s="14">
        <v>4571.8499999999995</v>
      </c>
      <c r="T21" s="16">
        <f t="shared" si="5"/>
        <v>1190.1219875037189</v>
      </c>
      <c r="U21" s="19">
        <f t="shared" si="0"/>
        <v>0.99999999999999978</v>
      </c>
      <c r="V21" s="18"/>
      <c r="W21" s="14">
        <v>0</v>
      </c>
      <c r="X21" s="16">
        <f t="shared" si="6"/>
        <v>0</v>
      </c>
      <c r="Y21" s="19">
        <f t="shared" si="1"/>
        <v>0</v>
      </c>
      <c r="Z21" s="18"/>
      <c r="AA21" s="14">
        <v>0</v>
      </c>
      <c r="AB21" s="16">
        <f t="shared" si="7"/>
        <v>0</v>
      </c>
      <c r="AC21" s="19">
        <f t="shared" si="2"/>
        <v>0</v>
      </c>
      <c r="AD21" s="18"/>
      <c r="AE21" s="14">
        <v>0</v>
      </c>
      <c r="AF21" s="16">
        <f t="shared" si="8"/>
        <v>0</v>
      </c>
      <c r="AG21" s="19">
        <f t="shared" si="3"/>
        <v>0</v>
      </c>
      <c r="AH21" s="20" t="s">
        <v>41</v>
      </c>
    </row>
    <row r="22" spans="1:34" s="12" customFormat="1">
      <c r="A22" s="44" t="s">
        <v>95</v>
      </c>
      <c r="B22" s="12" t="s">
        <v>105</v>
      </c>
      <c r="C22" s="46" t="s">
        <v>67</v>
      </c>
      <c r="D22" s="46" t="s">
        <v>48</v>
      </c>
      <c r="E22" s="46" t="s">
        <v>133</v>
      </c>
      <c r="F22" s="47" t="s">
        <v>86</v>
      </c>
      <c r="G22" s="21" t="s">
        <v>34</v>
      </c>
      <c r="H22" s="4">
        <f t="shared" si="4"/>
        <v>0.20580944882220958</v>
      </c>
      <c r="I22" s="22">
        <v>1450</v>
      </c>
      <c r="J22" s="23">
        <v>48</v>
      </c>
      <c r="K22" s="22">
        <v>4632</v>
      </c>
      <c r="L22" s="22">
        <v>18093</v>
      </c>
      <c r="M22" s="22">
        <v>1099.826</v>
      </c>
      <c r="N22" s="22">
        <v>284844.36999999994</v>
      </c>
      <c r="O22" s="24">
        <v>1555137.0797362363</v>
      </c>
      <c r="P22" s="24">
        <v>58623.662789809518</v>
      </c>
      <c r="Q22" s="25">
        <v>3.7673864477449567E-2</v>
      </c>
      <c r="R22" s="26">
        <v>0.16530445698604387</v>
      </c>
      <c r="S22" s="22">
        <v>253653.35</v>
      </c>
      <c r="T22" s="24">
        <f t="shared" si="5"/>
        <v>41930.029284440934</v>
      </c>
      <c r="U22" s="27">
        <f t="shared" si="0"/>
        <v>0.7152406944407026</v>
      </c>
      <c r="V22" s="26">
        <v>3.7564431830262341</v>
      </c>
      <c r="W22" s="22">
        <v>4444.0000000000009</v>
      </c>
      <c r="X22" s="24">
        <f t="shared" si="6"/>
        <v>16693.633505368587</v>
      </c>
      <c r="Y22" s="27">
        <f t="shared" si="1"/>
        <v>0.28475930555929752</v>
      </c>
      <c r="Z22" s="26"/>
      <c r="AA22" s="22">
        <v>0</v>
      </c>
      <c r="AB22" s="24">
        <f t="shared" si="7"/>
        <v>0</v>
      </c>
      <c r="AC22" s="27">
        <f t="shared" si="2"/>
        <v>0</v>
      </c>
      <c r="AD22" s="26"/>
      <c r="AE22" s="22">
        <v>0</v>
      </c>
      <c r="AF22" s="24">
        <f t="shared" si="8"/>
        <v>0</v>
      </c>
      <c r="AG22" s="27">
        <f t="shared" si="3"/>
        <v>0</v>
      </c>
      <c r="AH22" s="28" t="s">
        <v>49</v>
      </c>
    </row>
    <row r="23" spans="1:34" s="12" customFormat="1">
      <c r="A23" s="44" t="s">
        <v>100</v>
      </c>
      <c r="B23" s="12" t="s">
        <v>105</v>
      </c>
      <c r="C23" s="46" t="s">
        <v>67</v>
      </c>
      <c r="D23" s="46" t="s">
        <v>48</v>
      </c>
      <c r="E23" s="46" t="s">
        <v>133</v>
      </c>
      <c r="F23" s="47" t="s">
        <v>72</v>
      </c>
      <c r="G23" s="4" t="s">
        <v>39</v>
      </c>
      <c r="H23" s="4">
        <f t="shared" si="4"/>
        <v>0.30473031227076119</v>
      </c>
      <c r="I23" s="5">
        <v>1450</v>
      </c>
      <c r="J23" s="6">
        <v>38</v>
      </c>
      <c r="K23" s="5">
        <v>16</v>
      </c>
      <c r="L23" s="5">
        <v>396.99999999999989</v>
      </c>
      <c r="M23" s="5">
        <v>218.28699999999998</v>
      </c>
      <c r="N23" s="5">
        <v>53532.020000000004</v>
      </c>
      <c r="O23" s="7">
        <v>149482.12189243399</v>
      </c>
      <c r="P23" s="7">
        <v>16312.829171084635</v>
      </c>
      <c r="Q23" s="8">
        <v>0.1091281621439132</v>
      </c>
      <c r="R23" s="9">
        <v>0.30473031227076119</v>
      </c>
      <c r="S23" s="5">
        <v>53532.020000000004</v>
      </c>
      <c r="T23" s="7">
        <f t="shared" si="5"/>
        <v>16312.829171084635</v>
      </c>
      <c r="U23" s="10">
        <f t="shared" si="0"/>
        <v>1</v>
      </c>
      <c r="V23" s="9"/>
      <c r="W23" s="5">
        <v>0</v>
      </c>
      <c r="X23" s="7">
        <f t="shared" si="6"/>
        <v>0</v>
      </c>
      <c r="Y23" s="10">
        <f t="shared" si="1"/>
        <v>0</v>
      </c>
      <c r="Z23" s="9"/>
      <c r="AA23" s="5">
        <v>0</v>
      </c>
      <c r="AB23" s="7">
        <f t="shared" si="7"/>
        <v>0</v>
      </c>
      <c r="AC23" s="10">
        <f t="shared" si="2"/>
        <v>0</v>
      </c>
      <c r="AD23" s="9"/>
      <c r="AE23" s="5">
        <v>0</v>
      </c>
      <c r="AF23" s="7">
        <f t="shared" si="8"/>
        <v>0</v>
      </c>
      <c r="AG23" s="10">
        <f t="shared" si="3"/>
        <v>0</v>
      </c>
      <c r="AH23" s="11" t="s">
        <v>41</v>
      </c>
    </row>
    <row r="24" spans="1:34" s="12" customFormat="1">
      <c r="A24" s="44" t="s">
        <v>91</v>
      </c>
      <c r="B24" s="12" t="s">
        <v>105</v>
      </c>
      <c r="C24" s="46" t="s">
        <v>67</v>
      </c>
      <c r="D24" s="46" t="s">
        <v>48</v>
      </c>
      <c r="E24" s="46" t="s">
        <v>133</v>
      </c>
      <c r="F24" s="47" t="s">
        <v>72</v>
      </c>
      <c r="G24" s="4" t="s">
        <v>40</v>
      </c>
      <c r="H24" s="4">
        <f t="shared" si="4"/>
        <v>0.36007352037633772</v>
      </c>
      <c r="I24" s="5">
        <v>1450</v>
      </c>
      <c r="J24" s="6">
        <v>38</v>
      </c>
      <c r="K24" s="5">
        <v>67</v>
      </c>
      <c r="L24" s="5">
        <v>420</v>
      </c>
      <c r="M24" s="5">
        <v>132.99599999999998</v>
      </c>
      <c r="N24" s="5">
        <v>29846.16</v>
      </c>
      <c r="O24" s="7">
        <v>102847.87860125417</v>
      </c>
      <c r="P24" s="7">
        <v>10746.811900915436</v>
      </c>
      <c r="Q24" s="8">
        <v>0.10466112270829551</v>
      </c>
      <c r="R24" s="9">
        <v>0.36007352037633772</v>
      </c>
      <c r="S24" s="5">
        <v>29846.16</v>
      </c>
      <c r="T24" s="7">
        <f t="shared" si="5"/>
        <v>10746.811900915436</v>
      </c>
      <c r="U24" s="10">
        <f t="shared" si="0"/>
        <v>1</v>
      </c>
      <c r="V24" s="9"/>
      <c r="W24" s="5">
        <v>0</v>
      </c>
      <c r="X24" s="7">
        <f t="shared" si="6"/>
        <v>0</v>
      </c>
      <c r="Y24" s="10">
        <f t="shared" si="1"/>
        <v>0</v>
      </c>
      <c r="Z24" s="9"/>
      <c r="AA24" s="5">
        <v>0</v>
      </c>
      <c r="AB24" s="7">
        <f t="shared" si="7"/>
        <v>0</v>
      </c>
      <c r="AC24" s="10">
        <f t="shared" si="2"/>
        <v>0</v>
      </c>
      <c r="AD24" s="9"/>
      <c r="AE24" s="5">
        <v>0</v>
      </c>
      <c r="AF24" s="7">
        <f t="shared" si="8"/>
        <v>0</v>
      </c>
      <c r="AG24" s="10">
        <f t="shared" si="3"/>
        <v>0</v>
      </c>
      <c r="AH24" s="11" t="s">
        <v>41</v>
      </c>
    </row>
    <row r="25" spans="1:34" s="12" customFormat="1">
      <c r="A25" s="44" t="s">
        <v>91</v>
      </c>
      <c r="B25" s="12" t="s">
        <v>105</v>
      </c>
      <c r="C25" s="46" t="s">
        <v>67</v>
      </c>
      <c r="D25" s="46" t="s">
        <v>48</v>
      </c>
      <c r="E25" s="46" t="s">
        <v>133</v>
      </c>
      <c r="F25" s="47" t="s">
        <v>72</v>
      </c>
      <c r="G25" s="13" t="s">
        <v>43</v>
      </c>
      <c r="H25" s="4">
        <f t="shared" si="4"/>
        <v>0.28491336899884584</v>
      </c>
      <c r="I25" s="14">
        <v>1450</v>
      </c>
      <c r="J25" s="15">
        <v>38</v>
      </c>
      <c r="K25" s="14">
        <v>2</v>
      </c>
      <c r="L25" s="14">
        <v>2</v>
      </c>
      <c r="M25" s="14">
        <v>42.546999999999997</v>
      </c>
      <c r="N25" s="14">
        <v>10182.299999999999</v>
      </c>
      <c r="O25" s="16">
        <v>28566.57963446475</v>
      </c>
      <c r="P25" s="16">
        <v>2901.073397156948</v>
      </c>
      <c r="Q25" s="17">
        <v>0.10155480405000558</v>
      </c>
      <c r="R25" s="18">
        <v>0.28491336899884584</v>
      </c>
      <c r="S25" s="14">
        <v>10182.299999999999</v>
      </c>
      <c r="T25" s="16">
        <f t="shared" si="5"/>
        <v>2901.073397156948</v>
      </c>
      <c r="U25" s="19">
        <f t="shared" si="0"/>
        <v>1</v>
      </c>
      <c r="V25" s="18"/>
      <c r="W25" s="14">
        <v>0</v>
      </c>
      <c r="X25" s="16">
        <f t="shared" si="6"/>
        <v>0</v>
      </c>
      <c r="Y25" s="19">
        <f t="shared" si="1"/>
        <v>0</v>
      </c>
      <c r="Z25" s="18"/>
      <c r="AA25" s="14">
        <v>0</v>
      </c>
      <c r="AB25" s="16">
        <f t="shared" si="7"/>
        <v>0</v>
      </c>
      <c r="AC25" s="19">
        <f t="shared" si="2"/>
        <v>0</v>
      </c>
      <c r="AD25" s="18"/>
      <c r="AE25" s="14">
        <v>0</v>
      </c>
      <c r="AF25" s="16">
        <f t="shared" si="8"/>
        <v>0</v>
      </c>
      <c r="AG25" s="19">
        <f t="shared" si="3"/>
        <v>0</v>
      </c>
      <c r="AH25" s="20" t="s">
        <v>41</v>
      </c>
    </row>
    <row r="26" spans="1:34" s="12" customFormat="1">
      <c r="A26" s="44" t="s">
        <v>94</v>
      </c>
      <c r="B26" s="12" t="s">
        <v>106</v>
      </c>
      <c r="C26" s="46" t="s">
        <v>67</v>
      </c>
      <c r="D26" s="46" t="s">
        <v>50</v>
      </c>
      <c r="E26" s="46" t="s">
        <v>129</v>
      </c>
      <c r="F26" s="47" t="s">
        <v>72</v>
      </c>
      <c r="G26" s="21" t="s">
        <v>51</v>
      </c>
      <c r="H26" s="4">
        <f t="shared" si="4"/>
        <v>0.16359092944268999</v>
      </c>
      <c r="I26" s="22">
        <v>866</v>
      </c>
      <c r="J26" s="23">
        <v>20</v>
      </c>
      <c r="K26" s="22">
        <v>2134</v>
      </c>
      <c r="L26" s="22">
        <v>9880</v>
      </c>
      <c r="M26" s="22">
        <v>736.88900000000012</v>
      </c>
      <c r="N26" s="22">
        <v>162882.35000000003</v>
      </c>
      <c r="O26" s="24">
        <v>918805.78878882248</v>
      </c>
      <c r="P26" s="24">
        <v>26646.075026309543</v>
      </c>
      <c r="Q26" s="25">
        <v>2.898157920444076E-2</v>
      </c>
      <c r="R26" s="26">
        <v>0.12376260380348662</v>
      </c>
      <c r="S26" s="22">
        <v>146367.47999999998</v>
      </c>
      <c r="T26" s="24">
        <f t="shared" si="5"/>
        <v>18114.820436954749</v>
      </c>
      <c r="U26" s="27">
        <f t="shared" si="0"/>
        <v>0.6798307225011081</v>
      </c>
      <c r="V26" s="26">
        <v>3.9865675651190626</v>
      </c>
      <c r="W26" s="22">
        <v>2140</v>
      </c>
      <c r="X26" s="24">
        <f t="shared" si="6"/>
        <v>8531.254589354794</v>
      </c>
      <c r="Y26" s="27">
        <f t="shared" si="1"/>
        <v>0.3201692774988919</v>
      </c>
      <c r="Z26" s="26"/>
      <c r="AA26" s="22">
        <v>0</v>
      </c>
      <c r="AB26" s="24">
        <f t="shared" si="7"/>
        <v>0</v>
      </c>
      <c r="AC26" s="27">
        <f t="shared" si="2"/>
        <v>0</v>
      </c>
      <c r="AD26" s="26"/>
      <c r="AE26" s="22">
        <v>0</v>
      </c>
      <c r="AF26" s="24">
        <f t="shared" si="8"/>
        <v>0</v>
      </c>
      <c r="AG26" s="27">
        <f t="shared" si="3"/>
        <v>0</v>
      </c>
      <c r="AH26" s="28" t="s">
        <v>52</v>
      </c>
    </row>
    <row r="27" spans="1:34" s="12" customFormat="1">
      <c r="A27" s="44" t="s">
        <v>95</v>
      </c>
      <c r="B27" s="12" t="s">
        <v>106</v>
      </c>
      <c r="C27" s="46" t="s">
        <v>67</v>
      </c>
      <c r="D27" s="46" t="s">
        <v>50</v>
      </c>
      <c r="E27" s="46" t="s">
        <v>129</v>
      </c>
      <c r="F27" s="47" t="s">
        <v>85</v>
      </c>
      <c r="G27" s="4" t="s">
        <v>34</v>
      </c>
      <c r="H27" s="4">
        <f t="shared" si="4"/>
        <v>0.19172215999124029</v>
      </c>
      <c r="I27" s="5">
        <v>866</v>
      </c>
      <c r="J27" s="6">
        <v>20</v>
      </c>
      <c r="K27" s="5">
        <v>1726</v>
      </c>
      <c r="L27" s="5">
        <v>6154</v>
      </c>
      <c r="M27" s="5">
        <v>302.49800000000005</v>
      </c>
      <c r="N27" s="5">
        <v>81365.23</v>
      </c>
      <c r="O27" s="7">
        <v>489184.27417271194</v>
      </c>
      <c r="P27" s="7">
        <v>15599.517643784064</v>
      </c>
      <c r="Q27" s="8">
        <v>3.1882131383626895E-2</v>
      </c>
      <c r="R27" s="9">
        <v>0.13801028964293671</v>
      </c>
      <c r="S27" s="5">
        <v>70378.03</v>
      </c>
      <c r="T27" s="7">
        <f t="shared" si="5"/>
        <v>9712.8923047992885</v>
      </c>
      <c r="U27" s="10">
        <f t="shared" si="0"/>
        <v>0.62264055380389161</v>
      </c>
      <c r="V27" s="9">
        <v>3.9113789627805828</v>
      </c>
      <c r="W27" s="5">
        <v>1505</v>
      </c>
      <c r="X27" s="7">
        <f t="shared" si="6"/>
        <v>5886.625338984777</v>
      </c>
      <c r="Y27" s="10">
        <f t="shared" si="1"/>
        <v>0.37735944619610845</v>
      </c>
      <c r="Z27" s="9"/>
      <c r="AA27" s="5">
        <v>0</v>
      </c>
      <c r="AB27" s="7">
        <f t="shared" si="7"/>
        <v>0</v>
      </c>
      <c r="AC27" s="10">
        <f t="shared" si="2"/>
        <v>0</v>
      </c>
      <c r="AD27" s="9"/>
      <c r="AE27" s="5">
        <v>0</v>
      </c>
      <c r="AF27" s="7">
        <f t="shared" si="8"/>
        <v>0</v>
      </c>
      <c r="AG27" s="10">
        <f t="shared" si="3"/>
        <v>0</v>
      </c>
      <c r="AH27" s="11"/>
    </row>
    <row r="28" spans="1:34" s="12" customFormat="1">
      <c r="A28" s="44" t="s">
        <v>100</v>
      </c>
      <c r="B28" s="12" t="s">
        <v>106</v>
      </c>
      <c r="C28" s="46" t="s">
        <v>67</v>
      </c>
      <c r="D28" s="46" t="s">
        <v>50</v>
      </c>
      <c r="E28" s="46" t="s">
        <v>129</v>
      </c>
      <c r="F28" s="47" t="s">
        <v>72</v>
      </c>
      <c r="G28" s="13" t="s">
        <v>39</v>
      </c>
      <c r="H28" s="4">
        <f t="shared" si="4"/>
        <v>0.20876975978819937</v>
      </c>
      <c r="I28" s="14">
        <v>866</v>
      </c>
      <c r="J28" s="15">
        <v>20</v>
      </c>
      <c r="K28" s="14">
        <v>6</v>
      </c>
      <c r="L28" s="14">
        <v>26</v>
      </c>
      <c r="M28" s="14">
        <v>98.497</v>
      </c>
      <c r="N28" s="14">
        <v>24336.32</v>
      </c>
      <c r="O28" s="16">
        <v>60792.640102925041</v>
      </c>
      <c r="P28" s="16">
        <v>5080.687680528752</v>
      </c>
      <c r="Q28" s="17">
        <v>8.3576222755439369E-2</v>
      </c>
      <c r="R28" s="18">
        <v>0.20876975978819937</v>
      </c>
      <c r="S28" s="14">
        <v>24336.32</v>
      </c>
      <c r="T28" s="16">
        <f t="shared" si="5"/>
        <v>5080.687680528752</v>
      </c>
      <c r="U28" s="19">
        <f t="shared" si="0"/>
        <v>1</v>
      </c>
      <c r="V28" s="18"/>
      <c r="W28" s="14">
        <v>0</v>
      </c>
      <c r="X28" s="16">
        <f t="shared" si="6"/>
        <v>0</v>
      </c>
      <c r="Y28" s="19">
        <f t="shared" si="1"/>
        <v>0</v>
      </c>
      <c r="Z28" s="18"/>
      <c r="AA28" s="14">
        <v>0</v>
      </c>
      <c r="AB28" s="16">
        <f t="shared" si="7"/>
        <v>0</v>
      </c>
      <c r="AC28" s="19">
        <f t="shared" si="2"/>
        <v>0</v>
      </c>
      <c r="AD28" s="18"/>
      <c r="AE28" s="14">
        <v>0</v>
      </c>
      <c r="AF28" s="16">
        <f t="shared" si="8"/>
        <v>0</v>
      </c>
      <c r="AG28" s="19">
        <f t="shared" si="3"/>
        <v>0</v>
      </c>
      <c r="AH28" s="20" t="s">
        <v>41</v>
      </c>
    </row>
    <row r="29" spans="1:34" s="12" customFormat="1">
      <c r="A29" s="44" t="s">
        <v>91</v>
      </c>
      <c r="B29" s="12" t="s">
        <v>108</v>
      </c>
      <c r="C29" s="46" t="s">
        <v>67</v>
      </c>
      <c r="D29" s="46" t="s">
        <v>53</v>
      </c>
      <c r="E29" s="46" t="s">
        <v>140</v>
      </c>
      <c r="F29" s="47" t="s">
        <v>107</v>
      </c>
      <c r="G29" s="21" t="s">
        <v>40</v>
      </c>
      <c r="H29" s="4">
        <f t="shared" si="4"/>
        <v>0.44924865985089824</v>
      </c>
      <c r="I29" s="22">
        <v>533</v>
      </c>
      <c r="J29" s="23">
        <v>28</v>
      </c>
      <c r="K29" s="22">
        <v>1041</v>
      </c>
      <c r="L29" s="22">
        <v>3388</v>
      </c>
      <c r="M29" s="22">
        <v>163.92200000000003</v>
      </c>
      <c r="N29" s="22">
        <v>39484.899999999994</v>
      </c>
      <c r="O29" s="24">
        <v>282131.19157816039</v>
      </c>
      <c r="P29" s="24">
        <v>17738.538409346729</v>
      </c>
      <c r="Q29" s="25">
        <v>6.2955078238251833E-2</v>
      </c>
      <c r="R29" s="26"/>
      <c r="S29" s="22">
        <v>0</v>
      </c>
      <c r="T29" s="24">
        <f t="shared" si="5"/>
        <v>0</v>
      </c>
      <c r="U29" s="27">
        <f t="shared" si="0"/>
        <v>0</v>
      </c>
      <c r="V29" s="26"/>
      <c r="W29" s="22">
        <v>0</v>
      </c>
      <c r="X29" s="24">
        <f t="shared" si="6"/>
        <v>0</v>
      </c>
      <c r="Y29" s="27">
        <f t="shared" si="1"/>
        <v>0</v>
      </c>
      <c r="Z29" s="26"/>
      <c r="AA29" s="22">
        <v>0</v>
      </c>
      <c r="AB29" s="24">
        <f t="shared" si="7"/>
        <v>0</v>
      </c>
      <c r="AC29" s="27">
        <f t="shared" si="2"/>
        <v>0</v>
      </c>
      <c r="AD29" s="38">
        <v>1013.9999999999999</v>
      </c>
      <c r="AE29" s="22">
        <v>17.493627622629912</v>
      </c>
      <c r="AF29" s="24">
        <f t="shared" si="8"/>
        <v>17738.538409346729</v>
      </c>
      <c r="AG29" s="27">
        <f t="shared" si="3"/>
        <v>1</v>
      </c>
      <c r="AH29" s="37" t="s">
        <v>54</v>
      </c>
    </row>
    <row r="30" spans="1:34" s="12" customFormat="1">
      <c r="A30" s="44" t="s">
        <v>91</v>
      </c>
      <c r="B30" s="12" t="s">
        <v>108</v>
      </c>
      <c r="C30" s="46" t="s">
        <v>67</v>
      </c>
      <c r="D30" s="46" t="s">
        <v>53</v>
      </c>
      <c r="E30" s="46" t="s">
        <v>140</v>
      </c>
      <c r="F30" s="47" t="s">
        <v>107</v>
      </c>
      <c r="G30" s="13" t="s">
        <v>42</v>
      </c>
      <c r="H30" s="4">
        <f t="shared" si="4"/>
        <v>0.3233582090437751</v>
      </c>
      <c r="I30" s="14">
        <v>533</v>
      </c>
      <c r="J30" s="15">
        <v>28</v>
      </c>
      <c r="K30" s="14">
        <v>310</v>
      </c>
      <c r="L30" s="14">
        <v>1116</v>
      </c>
      <c r="M30" s="14">
        <v>84.972000000000008</v>
      </c>
      <c r="N30" s="14">
        <v>19823.57</v>
      </c>
      <c r="O30" s="16">
        <v>106865.73933193496</v>
      </c>
      <c r="P30" s="16">
        <v>6410.1140920539092</v>
      </c>
      <c r="Q30" s="17">
        <v>6.0036066028575391E-2</v>
      </c>
      <c r="R30" s="18"/>
      <c r="S30" s="14">
        <v>0</v>
      </c>
      <c r="T30" s="16">
        <f t="shared" si="5"/>
        <v>0</v>
      </c>
      <c r="U30" s="19">
        <f t="shared" si="0"/>
        <v>0</v>
      </c>
      <c r="V30" s="18"/>
      <c r="W30" s="14">
        <v>0</v>
      </c>
      <c r="X30" s="16">
        <f t="shared" si="6"/>
        <v>0</v>
      </c>
      <c r="Y30" s="19">
        <f t="shared" si="1"/>
        <v>0</v>
      </c>
      <c r="Z30" s="18"/>
      <c r="AA30" s="14">
        <v>0</v>
      </c>
      <c r="AB30" s="16">
        <f t="shared" si="7"/>
        <v>0</v>
      </c>
      <c r="AC30" s="19">
        <f t="shared" si="2"/>
        <v>0</v>
      </c>
      <c r="AD30" s="39">
        <v>1014</v>
      </c>
      <c r="AE30" s="14">
        <v>6.321611530625157</v>
      </c>
      <c r="AF30" s="16">
        <f t="shared" si="8"/>
        <v>6410.1140920539092</v>
      </c>
      <c r="AG30" s="19">
        <f t="shared" si="3"/>
        <v>1</v>
      </c>
      <c r="AH30" s="40" t="s">
        <v>54</v>
      </c>
    </row>
    <row r="31" spans="1:34" s="12" customFormat="1">
      <c r="A31" s="44" t="s">
        <v>96</v>
      </c>
      <c r="B31" s="12" t="s">
        <v>109</v>
      </c>
      <c r="C31" s="46" t="s">
        <v>67</v>
      </c>
      <c r="D31" s="46" t="s">
        <v>69</v>
      </c>
      <c r="E31" s="46" t="s">
        <v>134</v>
      </c>
      <c r="F31" s="47" t="s">
        <v>84</v>
      </c>
      <c r="G31" s="21" t="s">
        <v>35</v>
      </c>
      <c r="H31" s="4">
        <f t="shared" si="4"/>
        <v>0.38545725743087572</v>
      </c>
      <c r="I31" s="22">
        <v>1256</v>
      </c>
      <c r="J31" s="23">
        <v>26</v>
      </c>
      <c r="K31" s="22">
        <v>1367</v>
      </c>
      <c r="L31" s="22">
        <v>3838.9999999999991</v>
      </c>
      <c r="M31" s="22">
        <v>198.17699999999999</v>
      </c>
      <c r="N31" s="22">
        <v>57163.549999999996</v>
      </c>
      <c r="O31" s="24">
        <v>399405.12114671321</v>
      </c>
      <c r="P31" s="24">
        <v>22034.105208012734</v>
      </c>
      <c r="Q31" s="25">
        <v>5.5177814488685729E-2</v>
      </c>
      <c r="R31" s="26">
        <v>0.25812175854815439</v>
      </c>
      <c r="S31" s="22">
        <v>37284.909999999996</v>
      </c>
      <c r="T31" s="24">
        <f t="shared" si="5"/>
        <v>9624.0465365096661</v>
      </c>
      <c r="U31" s="27">
        <f t="shared" si="0"/>
        <v>0.43677954905152527</v>
      </c>
      <c r="V31" s="26">
        <v>6.4035390461832158</v>
      </c>
      <c r="W31" s="22">
        <v>1937.9999999999991</v>
      </c>
      <c r="X31" s="24">
        <f t="shared" si="6"/>
        <v>12410.058671503066</v>
      </c>
      <c r="Y31" s="27">
        <f t="shared" si="1"/>
        <v>0.56322045094847462</v>
      </c>
      <c r="Z31" s="26"/>
      <c r="AA31" s="22">
        <v>0</v>
      </c>
      <c r="AB31" s="24">
        <f t="shared" si="7"/>
        <v>0</v>
      </c>
      <c r="AC31" s="27">
        <f t="shared" si="2"/>
        <v>0</v>
      </c>
      <c r="AD31" s="26"/>
      <c r="AE31" s="22">
        <v>0</v>
      </c>
      <c r="AF31" s="24">
        <f t="shared" si="8"/>
        <v>0</v>
      </c>
      <c r="AG31" s="27">
        <f t="shared" si="3"/>
        <v>0</v>
      </c>
      <c r="AH31" s="28" t="s">
        <v>55</v>
      </c>
    </row>
    <row r="32" spans="1:34" s="12" customFormat="1">
      <c r="A32" s="44" t="s">
        <v>91</v>
      </c>
      <c r="B32" s="12" t="s">
        <v>109</v>
      </c>
      <c r="C32" s="46" t="s">
        <v>67</v>
      </c>
      <c r="D32" s="46" t="s">
        <v>69</v>
      </c>
      <c r="E32" s="46" t="s">
        <v>134</v>
      </c>
      <c r="F32" s="47" t="s">
        <v>72</v>
      </c>
      <c r="G32" s="13" t="s">
        <v>40</v>
      </c>
      <c r="H32" s="4">
        <f t="shared" si="4"/>
        <v>0.2579592143031349</v>
      </c>
      <c r="I32" s="14">
        <v>1256</v>
      </c>
      <c r="J32" s="15">
        <v>22</v>
      </c>
      <c r="K32" s="14">
        <v>1</v>
      </c>
      <c r="L32" s="14">
        <v>25</v>
      </c>
      <c r="M32" s="14">
        <v>17.645</v>
      </c>
      <c r="N32" s="14">
        <v>4264.24</v>
      </c>
      <c r="O32" s="16">
        <v>10479.710144927536</v>
      </c>
      <c r="P32" s="16">
        <v>1100</v>
      </c>
      <c r="Q32" s="17">
        <v>0.10496473516802655</v>
      </c>
      <c r="R32" s="18">
        <v>0.2579592143031349</v>
      </c>
      <c r="S32" s="14">
        <v>4264.24</v>
      </c>
      <c r="T32" s="16">
        <f t="shared" si="5"/>
        <v>1100</v>
      </c>
      <c r="U32" s="19">
        <f t="shared" si="0"/>
        <v>1</v>
      </c>
      <c r="V32" s="18"/>
      <c r="W32" s="14">
        <v>0</v>
      </c>
      <c r="X32" s="16">
        <f t="shared" si="6"/>
        <v>0</v>
      </c>
      <c r="Y32" s="19">
        <f t="shared" si="1"/>
        <v>0</v>
      </c>
      <c r="Z32" s="18"/>
      <c r="AA32" s="14">
        <v>0</v>
      </c>
      <c r="AB32" s="16">
        <f t="shared" si="7"/>
        <v>0</v>
      </c>
      <c r="AC32" s="19">
        <f t="shared" si="2"/>
        <v>0</v>
      </c>
      <c r="AD32" s="18"/>
      <c r="AE32" s="14">
        <v>0</v>
      </c>
      <c r="AF32" s="16">
        <f t="shared" si="8"/>
        <v>0</v>
      </c>
      <c r="AG32" s="19">
        <f t="shared" si="3"/>
        <v>0</v>
      </c>
      <c r="AH32" s="20" t="s">
        <v>41</v>
      </c>
    </row>
    <row r="33" spans="1:34" s="12" customFormat="1">
      <c r="A33" s="44" t="s">
        <v>95</v>
      </c>
      <c r="B33" s="12" t="s">
        <v>116</v>
      </c>
      <c r="C33" s="46" t="s">
        <v>67</v>
      </c>
      <c r="D33" s="46" t="s">
        <v>56</v>
      </c>
      <c r="E33" s="46" t="s">
        <v>135</v>
      </c>
      <c r="F33" s="47" t="s">
        <v>82</v>
      </c>
      <c r="G33" s="21" t="s">
        <v>34</v>
      </c>
      <c r="H33" s="4">
        <f t="shared" si="4"/>
        <v>0.22044521714867429</v>
      </c>
      <c r="I33" s="22">
        <v>1465</v>
      </c>
      <c r="J33" s="23">
        <v>24</v>
      </c>
      <c r="K33" s="22">
        <v>2219</v>
      </c>
      <c r="L33" s="22">
        <v>8617</v>
      </c>
      <c r="M33" s="22">
        <v>345.11600000000004</v>
      </c>
      <c r="N33" s="22">
        <v>95621.499999999985</v>
      </c>
      <c r="O33" s="24">
        <v>689333.10640821396</v>
      </c>
      <c r="P33" s="24">
        <v>21079.302331581956</v>
      </c>
      <c r="Q33" s="25">
        <v>3.0580964300512447E-2</v>
      </c>
      <c r="R33" s="26">
        <v>0.17645568511911872</v>
      </c>
      <c r="S33" s="22">
        <v>80691.58</v>
      </c>
      <c r="T33" s="24">
        <f t="shared" si="5"/>
        <v>14238.488032244177</v>
      </c>
      <c r="U33" s="27">
        <f t="shared" si="0"/>
        <v>0.67547245199436401</v>
      </c>
      <c r="V33" s="26">
        <v>3.7815446651950158</v>
      </c>
      <c r="W33" s="22">
        <v>1809</v>
      </c>
      <c r="X33" s="24">
        <f t="shared" si="6"/>
        <v>6840.8142993377833</v>
      </c>
      <c r="Y33" s="27">
        <f t="shared" si="1"/>
        <v>0.32452754800563627</v>
      </c>
      <c r="Z33" s="26"/>
      <c r="AA33" s="22">
        <v>0</v>
      </c>
      <c r="AB33" s="24">
        <f t="shared" si="7"/>
        <v>0</v>
      </c>
      <c r="AC33" s="27">
        <f t="shared" si="2"/>
        <v>0</v>
      </c>
      <c r="AD33" s="26"/>
      <c r="AE33" s="22">
        <v>0</v>
      </c>
      <c r="AF33" s="24">
        <f t="shared" si="8"/>
        <v>0</v>
      </c>
      <c r="AG33" s="27">
        <f t="shared" si="3"/>
        <v>0</v>
      </c>
      <c r="AH33" s="28" t="s">
        <v>57</v>
      </c>
    </row>
    <row r="34" spans="1:34" s="12" customFormat="1">
      <c r="A34" s="44" t="s">
        <v>94</v>
      </c>
      <c r="B34" s="12" t="s">
        <v>117</v>
      </c>
      <c r="C34" s="46" t="s">
        <v>67</v>
      </c>
      <c r="D34" s="46" t="s">
        <v>56</v>
      </c>
      <c r="E34" s="46" t="s">
        <v>135</v>
      </c>
      <c r="F34" s="47" t="s">
        <v>83</v>
      </c>
      <c r="G34" s="13" t="s">
        <v>51</v>
      </c>
      <c r="H34" s="4">
        <f t="shared" si="4"/>
        <v>0.19697209149336312</v>
      </c>
      <c r="I34" s="14">
        <v>1465</v>
      </c>
      <c r="J34" s="15">
        <v>24</v>
      </c>
      <c r="K34" s="14">
        <v>957</v>
      </c>
      <c r="L34" s="14">
        <v>3732</v>
      </c>
      <c r="M34" s="14">
        <v>207.99999999999997</v>
      </c>
      <c r="N34" s="14">
        <v>45275.56</v>
      </c>
      <c r="O34" s="16">
        <v>315267.21858998697</v>
      </c>
      <c r="P34" s="16">
        <v>8918.0217467332513</v>
      </c>
      <c r="Q34" s="17">
        <v>2.8291188423256109E-2</v>
      </c>
      <c r="R34" s="18">
        <v>0.14387176321650877</v>
      </c>
      <c r="S34" s="14">
        <v>37104.680000000008</v>
      </c>
      <c r="T34" s="16">
        <f t="shared" si="5"/>
        <v>5338.3157351843292</v>
      </c>
      <c r="U34" s="19">
        <f t="shared" si="0"/>
        <v>0.59859864516923844</v>
      </c>
      <c r="V34" s="18">
        <v>3.7327487086015836</v>
      </c>
      <c r="W34" s="14">
        <v>959</v>
      </c>
      <c r="X34" s="16">
        <f t="shared" si="6"/>
        <v>3579.7060115489185</v>
      </c>
      <c r="Y34" s="19">
        <f t="shared" si="1"/>
        <v>0.40140135483076117</v>
      </c>
      <c r="Z34" s="18"/>
      <c r="AA34" s="14">
        <v>0</v>
      </c>
      <c r="AB34" s="16">
        <f t="shared" si="7"/>
        <v>0</v>
      </c>
      <c r="AC34" s="19">
        <f t="shared" si="2"/>
        <v>0</v>
      </c>
      <c r="AD34" s="18"/>
      <c r="AE34" s="14">
        <v>0</v>
      </c>
      <c r="AF34" s="16">
        <f t="shared" si="8"/>
        <v>0</v>
      </c>
      <c r="AG34" s="19">
        <f t="shared" si="3"/>
        <v>0</v>
      </c>
      <c r="AH34" s="20" t="s">
        <v>57</v>
      </c>
    </row>
    <row r="35" spans="1:34" s="12" customFormat="1">
      <c r="A35" s="44" t="s">
        <v>94</v>
      </c>
      <c r="B35" s="12" t="s">
        <v>118</v>
      </c>
      <c r="C35" s="46" t="s">
        <v>67</v>
      </c>
      <c r="D35" s="46" t="s">
        <v>58</v>
      </c>
      <c r="E35" s="46" t="s">
        <v>130</v>
      </c>
      <c r="F35" s="47" t="s">
        <v>81</v>
      </c>
      <c r="G35" s="21" t="s">
        <v>51</v>
      </c>
      <c r="H35" s="4">
        <f t="shared" si="4"/>
        <v>0.17374722538692461</v>
      </c>
      <c r="I35" s="22">
        <v>847</v>
      </c>
      <c r="J35" s="23">
        <v>16</v>
      </c>
      <c r="K35" s="22">
        <v>5235</v>
      </c>
      <c r="L35" s="22">
        <v>23155</v>
      </c>
      <c r="M35" s="22">
        <v>1136.8409999999999</v>
      </c>
      <c r="N35" s="22">
        <v>302618.52</v>
      </c>
      <c r="O35" s="24">
        <v>1979076.5074769666</v>
      </c>
      <c r="P35" s="24">
        <v>52579.12820069756</v>
      </c>
      <c r="Q35" s="25">
        <v>2.6563240137216951E-2</v>
      </c>
      <c r="R35" s="26">
        <v>0.12220887994210247</v>
      </c>
      <c r="S35" s="22">
        <v>261360.1</v>
      </c>
      <c r="T35" s="24">
        <f t="shared" si="5"/>
        <v>31940.525082555898</v>
      </c>
      <c r="U35" s="27">
        <f t="shared" si="0"/>
        <v>0.60747536476141395</v>
      </c>
      <c r="V35" s="26">
        <v>4.0635170541724079</v>
      </c>
      <c r="W35" s="22">
        <v>5079</v>
      </c>
      <c r="X35" s="24">
        <f t="shared" si="6"/>
        <v>20638.603118141658</v>
      </c>
      <c r="Y35" s="27">
        <f t="shared" si="1"/>
        <v>0.39252463523858594</v>
      </c>
      <c r="Z35" s="26"/>
      <c r="AA35" s="22">
        <v>0</v>
      </c>
      <c r="AB35" s="24">
        <f t="shared" si="7"/>
        <v>0</v>
      </c>
      <c r="AC35" s="27">
        <f t="shared" si="2"/>
        <v>0</v>
      </c>
      <c r="AD35" s="26"/>
      <c r="AE35" s="22">
        <v>0</v>
      </c>
      <c r="AF35" s="24">
        <f t="shared" si="8"/>
        <v>0</v>
      </c>
      <c r="AG35" s="27">
        <f t="shared" si="3"/>
        <v>0</v>
      </c>
      <c r="AH35" s="28"/>
    </row>
    <row r="36" spans="1:34" s="12" customFormat="1">
      <c r="A36" s="44" t="s">
        <v>95</v>
      </c>
      <c r="B36" s="12" t="s">
        <v>119</v>
      </c>
      <c r="C36" s="46" t="s">
        <v>67</v>
      </c>
      <c r="D36" s="46" t="s">
        <v>58</v>
      </c>
      <c r="E36" s="46" t="s">
        <v>130</v>
      </c>
      <c r="F36" s="47" t="s">
        <v>80</v>
      </c>
      <c r="G36" s="13" t="s">
        <v>34</v>
      </c>
      <c r="H36" s="4">
        <f t="shared" si="4"/>
        <v>0.11371072786805461</v>
      </c>
      <c r="I36" s="14">
        <v>847</v>
      </c>
      <c r="J36" s="15">
        <v>16</v>
      </c>
      <c r="K36" s="14">
        <v>1</v>
      </c>
      <c r="L36" s="14">
        <v>10</v>
      </c>
      <c r="M36" s="14">
        <v>0.223</v>
      </c>
      <c r="N36" s="14">
        <v>57.53</v>
      </c>
      <c r="O36" s="16">
        <v>340.76717216770743</v>
      </c>
      <c r="P36" s="16">
        <v>6.5417781742491821</v>
      </c>
      <c r="Q36" s="17">
        <v>1.9197207678883072E-2</v>
      </c>
      <c r="R36" s="18">
        <v>0.11371072786805461</v>
      </c>
      <c r="S36" s="14">
        <v>57.53</v>
      </c>
      <c r="T36" s="16">
        <f t="shared" si="5"/>
        <v>6.5417781742491821</v>
      </c>
      <c r="U36" s="19">
        <f t="shared" si="0"/>
        <v>1</v>
      </c>
      <c r="V36" s="18"/>
      <c r="W36" s="14">
        <v>0</v>
      </c>
      <c r="X36" s="16">
        <f t="shared" si="6"/>
        <v>0</v>
      </c>
      <c r="Y36" s="19">
        <f t="shared" si="1"/>
        <v>0</v>
      </c>
      <c r="Z36" s="18"/>
      <c r="AA36" s="14">
        <v>0</v>
      </c>
      <c r="AB36" s="16">
        <f t="shared" si="7"/>
        <v>0</v>
      </c>
      <c r="AC36" s="19">
        <f t="shared" si="2"/>
        <v>0</v>
      </c>
      <c r="AD36" s="18"/>
      <c r="AE36" s="14">
        <v>0</v>
      </c>
      <c r="AF36" s="16">
        <f t="shared" si="8"/>
        <v>0</v>
      </c>
      <c r="AG36" s="19">
        <f t="shared" si="3"/>
        <v>0</v>
      </c>
      <c r="AH36" s="20"/>
    </row>
    <row r="37" spans="1:34" s="12" customFormat="1">
      <c r="A37" s="44" t="s">
        <v>95</v>
      </c>
      <c r="B37" s="12" t="s">
        <v>120</v>
      </c>
      <c r="C37" s="46" t="s">
        <v>67</v>
      </c>
      <c r="D37" s="46" t="s">
        <v>59</v>
      </c>
      <c r="E37" s="46" t="s">
        <v>136</v>
      </c>
      <c r="F37" s="47" t="s">
        <v>78</v>
      </c>
      <c r="G37" s="29" t="s">
        <v>34</v>
      </c>
      <c r="H37" s="4">
        <f t="shared" si="4"/>
        <v>0.23148546654310445</v>
      </c>
      <c r="I37" s="30">
        <v>1340</v>
      </c>
      <c r="J37" s="31">
        <v>28</v>
      </c>
      <c r="K37" s="30">
        <v>2194</v>
      </c>
      <c r="L37" s="30">
        <v>6854.9999999999991</v>
      </c>
      <c r="M37" s="30">
        <v>402.38900000000001</v>
      </c>
      <c r="N37" s="30">
        <v>90459.650000000009</v>
      </c>
      <c r="O37" s="32">
        <v>528900.4822543246</v>
      </c>
      <c r="P37" s="32">
        <v>20940.094283575942</v>
      </c>
      <c r="Q37" s="33">
        <v>3.9581935509607515E-2</v>
      </c>
      <c r="R37" s="34">
        <v>0.15408802798461083</v>
      </c>
      <c r="S37" s="30">
        <v>75037.740000000005</v>
      </c>
      <c r="T37" s="32">
        <f t="shared" si="5"/>
        <v>11562.417381021953</v>
      </c>
      <c r="U37" s="35">
        <f t="shared" si="0"/>
        <v>0.55216644320893848</v>
      </c>
      <c r="V37" s="34">
        <v>3.7752322474049889</v>
      </c>
      <c r="W37" s="30">
        <v>2483.9999999999991</v>
      </c>
      <c r="X37" s="32">
        <f t="shared" si="6"/>
        <v>9377.6769025539888</v>
      </c>
      <c r="Y37" s="35">
        <f t="shared" si="1"/>
        <v>0.44783355679106152</v>
      </c>
      <c r="Z37" s="34"/>
      <c r="AA37" s="30">
        <v>0</v>
      </c>
      <c r="AB37" s="32">
        <f t="shared" si="7"/>
        <v>0</v>
      </c>
      <c r="AC37" s="35">
        <f t="shared" si="2"/>
        <v>0</v>
      </c>
      <c r="AD37" s="34"/>
      <c r="AE37" s="30">
        <v>0</v>
      </c>
      <c r="AF37" s="32">
        <f t="shared" si="8"/>
        <v>0</v>
      </c>
      <c r="AG37" s="35">
        <f t="shared" si="3"/>
        <v>0</v>
      </c>
      <c r="AH37" s="36"/>
    </row>
    <row r="38" spans="1:34" s="12" customFormat="1">
      <c r="A38" s="44" t="s">
        <v>96</v>
      </c>
      <c r="B38" s="12" t="s">
        <v>121</v>
      </c>
      <c r="C38" s="46" t="s">
        <v>67</v>
      </c>
      <c r="D38" s="46" t="s">
        <v>60</v>
      </c>
      <c r="E38" s="46" t="s">
        <v>137</v>
      </c>
      <c r="F38" s="47" t="s">
        <v>77</v>
      </c>
      <c r="G38" s="29" t="s">
        <v>35</v>
      </c>
      <c r="H38" s="4">
        <f t="shared" si="4"/>
        <v>0.38097931729945517</v>
      </c>
      <c r="I38" s="30">
        <v>1450</v>
      </c>
      <c r="J38" s="31">
        <v>26</v>
      </c>
      <c r="K38" s="30">
        <v>512</v>
      </c>
      <c r="L38" s="30">
        <v>1559</v>
      </c>
      <c r="M38" s="30">
        <v>56.963000000000001</v>
      </c>
      <c r="N38" s="30">
        <v>23839.050000000003</v>
      </c>
      <c r="O38" s="32">
        <v>135546.04660125767</v>
      </c>
      <c r="P38" s="32">
        <v>9082.1849940675784</v>
      </c>
      <c r="Q38" s="33">
        <v>6.6987634650687536E-2</v>
      </c>
      <c r="R38" s="34">
        <v>0.29587576072748389</v>
      </c>
      <c r="S38" s="30">
        <v>15778.38</v>
      </c>
      <c r="T38" s="32">
        <f t="shared" si="5"/>
        <v>4668.440185547317</v>
      </c>
      <c r="U38" s="35">
        <f t="shared" si="0"/>
        <v>0.5140217016716474</v>
      </c>
      <c r="V38" s="34">
        <v>6.3143702553937917</v>
      </c>
      <c r="W38" s="30">
        <v>699</v>
      </c>
      <c r="X38" s="32">
        <f t="shared" si="6"/>
        <v>4413.7448085202604</v>
      </c>
      <c r="Y38" s="35">
        <f t="shared" si="1"/>
        <v>0.48597829832835254</v>
      </c>
      <c r="Z38" s="34"/>
      <c r="AA38" s="30">
        <v>0</v>
      </c>
      <c r="AB38" s="32">
        <f t="shared" si="7"/>
        <v>0</v>
      </c>
      <c r="AC38" s="35">
        <f t="shared" si="2"/>
        <v>0</v>
      </c>
      <c r="AD38" s="34"/>
      <c r="AE38" s="30">
        <v>0</v>
      </c>
      <c r="AF38" s="32">
        <f t="shared" si="8"/>
        <v>0</v>
      </c>
      <c r="AG38" s="35">
        <f t="shared" si="3"/>
        <v>0</v>
      </c>
      <c r="AH38" s="41" t="s">
        <v>61</v>
      </c>
    </row>
    <row r="39" spans="1:34" s="12" customFormat="1">
      <c r="A39" s="44" t="s">
        <v>95</v>
      </c>
      <c r="B39" s="12" t="s">
        <v>122</v>
      </c>
      <c r="C39" s="46" t="s">
        <v>67</v>
      </c>
      <c r="D39" s="46" t="s">
        <v>62</v>
      </c>
      <c r="E39" s="46" t="s">
        <v>141</v>
      </c>
      <c r="F39" s="47" t="s">
        <v>76</v>
      </c>
      <c r="G39" s="21" t="s">
        <v>34</v>
      </c>
      <c r="H39" s="4">
        <f t="shared" si="4"/>
        <v>0.16181062614370081</v>
      </c>
      <c r="I39" s="22">
        <v>518</v>
      </c>
      <c r="J39" s="23">
        <v>14</v>
      </c>
      <c r="K39" s="22">
        <v>2983</v>
      </c>
      <c r="L39" s="22">
        <v>12817</v>
      </c>
      <c r="M39" s="22">
        <v>628.49799999999993</v>
      </c>
      <c r="N39" s="22">
        <v>157828.46</v>
      </c>
      <c r="O39" s="24">
        <v>1116956.3809566549</v>
      </c>
      <c r="P39" s="24">
        <v>25538.321935896038</v>
      </c>
      <c r="Q39" s="25">
        <v>2.286463991504234E-2</v>
      </c>
      <c r="R39" s="26">
        <v>0.12163749696399744</v>
      </c>
      <c r="S39" s="22">
        <v>141500.59</v>
      </c>
      <c r="T39" s="24">
        <f t="shared" si="5"/>
        <v>17211.777586528846</v>
      </c>
      <c r="U39" s="27">
        <f t="shared" si="0"/>
        <v>0.67395883056577788</v>
      </c>
      <c r="V39" s="26">
        <v>3.7744987984438758</v>
      </c>
      <c r="W39" s="22">
        <v>2206</v>
      </c>
      <c r="X39" s="24">
        <f t="shared" si="6"/>
        <v>8326.5443493671901</v>
      </c>
      <c r="Y39" s="27">
        <f t="shared" si="1"/>
        <v>0.32604116943422207</v>
      </c>
      <c r="Z39" s="26"/>
      <c r="AA39" s="22">
        <v>0</v>
      </c>
      <c r="AB39" s="24">
        <f t="shared" si="7"/>
        <v>0</v>
      </c>
      <c r="AC39" s="27">
        <f t="shared" si="2"/>
        <v>0</v>
      </c>
      <c r="AD39" s="26"/>
      <c r="AE39" s="22">
        <v>0</v>
      </c>
      <c r="AF39" s="24">
        <f t="shared" si="8"/>
        <v>0</v>
      </c>
      <c r="AG39" s="27">
        <f t="shared" si="3"/>
        <v>0</v>
      </c>
      <c r="AH39" s="28"/>
    </row>
    <row r="40" spans="1:34" s="12" customFormat="1">
      <c r="A40" s="44" t="s">
        <v>96</v>
      </c>
      <c r="B40" s="12" t="s">
        <v>123</v>
      </c>
      <c r="C40" s="46" t="s">
        <v>67</v>
      </c>
      <c r="D40" s="46" t="s">
        <v>62</v>
      </c>
      <c r="E40" s="46" t="s">
        <v>141</v>
      </c>
      <c r="F40" s="47" t="s">
        <v>75</v>
      </c>
      <c r="G40" s="13" t="s">
        <v>35</v>
      </c>
      <c r="H40" s="4">
        <f t="shared" si="4"/>
        <v>0.33512293427983764</v>
      </c>
      <c r="I40" s="14">
        <v>546</v>
      </c>
      <c r="J40" s="15">
        <v>16</v>
      </c>
      <c r="K40" s="14">
        <v>110</v>
      </c>
      <c r="L40" s="14">
        <v>270.99999999999989</v>
      </c>
      <c r="M40" s="14">
        <v>12.792000000000002</v>
      </c>
      <c r="N40" s="14">
        <v>3353.92</v>
      </c>
      <c r="O40" s="16">
        <v>26857.566930777615</v>
      </c>
      <c r="P40" s="16">
        <v>1123.9755117398331</v>
      </c>
      <c r="Q40" s="17">
        <v>4.1812340031585252E-2</v>
      </c>
      <c r="R40" s="18">
        <v>0.21316442173145303</v>
      </c>
      <c r="S40" s="14">
        <v>1617.26</v>
      </c>
      <c r="T40" s="16">
        <f t="shared" si="5"/>
        <v>344.74229268940974</v>
      </c>
      <c r="U40" s="19">
        <f t="shared" si="0"/>
        <v>0.30671690716443945</v>
      </c>
      <c r="V40" s="18">
        <v>4.9632689111491946</v>
      </c>
      <c r="W40" s="14">
        <v>157</v>
      </c>
      <c r="X40" s="16">
        <f t="shared" si="6"/>
        <v>779.2332190504236</v>
      </c>
      <c r="Y40" s="19">
        <f t="shared" si="1"/>
        <v>0.69328309283556078</v>
      </c>
      <c r="Z40" s="18"/>
      <c r="AA40" s="14">
        <v>0</v>
      </c>
      <c r="AB40" s="16">
        <f t="shared" si="7"/>
        <v>0</v>
      </c>
      <c r="AC40" s="19">
        <f t="shared" si="2"/>
        <v>0</v>
      </c>
      <c r="AD40" s="18"/>
      <c r="AE40" s="14">
        <v>0</v>
      </c>
      <c r="AF40" s="16">
        <f t="shared" si="8"/>
        <v>0</v>
      </c>
      <c r="AG40" s="19">
        <f t="shared" si="3"/>
        <v>0</v>
      </c>
      <c r="AH40" s="20"/>
    </row>
    <row r="41" spans="1:34" s="12" customFormat="1">
      <c r="A41" s="44" t="s">
        <v>96</v>
      </c>
      <c r="B41" s="12" t="s">
        <v>124</v>
      </c>
      <c r="C41" s="46" t="s">
        <v>67</v>
      </c>
      <c r="D41" s="46" t="s">
        <v>70</v>
      </c>
      <c r="E41" s="46" t="s">
        <v>142</v>
      </c>
      <c r="F41" s="47" t="s">
        <v>74</v>
      </c>
      <c r="G41" s="21" t="s">
        <v>35</v>
      </c>
      <c r="H41" s="4">
        <f t="shared" si="4"/>
        <v>0.28113633426709728</v>
      </c>
      <c r="I41" s="22">
        <v>407</v>
      </c>
      <c r="J41" s="23">
        <v>12</v>
      </c>
      <c r="K41" s="22">
        <v>868</v>
      </c>
      <c r="L41" s="22">
        <v>2764.9999999999991</v>
      </c>
      <c r="M41" s="22">
        <v>214.13599999999997</v>
      </c>
      <c r="N41" s="22">
        <v>52237.42</v>
      </c>
      <c r="O41" s="24">
        <v>309221.66474632017</v>
      </c>
      <c r="P41" s="24">
        <v>14685.836770370752</v>
      </c>
      <c r="Q41" s="25">
        <v>4.7532110526565238E-2</v>
      </c>
      <c r="R41" s="26">
        <v>0.22137824509377721</v>
      </c>
      <c r="S41" s="22">
        <v>40909.729999999996</v>
      </c>
      <c r="T41" s="24">
        <f t="shared" si="5"/>
        <v>9056.5242346602499</v>
      </c>
      <c r="U41" s="27">
        <f t="shared" si="0"/>
        <v>0.61668425002054639</v>
      </c>
      <c r="V41" s="26">
        <v>5.0714527348743212</v>
      </c>
      <c r="W41" s="22">
        <v>1110</v>
      </c>
      <c r="X41" s="24">
        <f t="shared" si="6"/>
        <v>5629.3125357104964</v>
      </c>
      <c r="Y41" s="27">
        <f t="shared" si="1"/>
        <v>0.38331574997945328</v>
      </c>
      <c r="Z41" s="26"/>
      <c r="AA41" s="22">
        <v>0</v>
      </c>
      <c r="AB41" s="24">
        <f t="shared" si="7"/>
        <v>0</v>
      </c>
      <c r="AC41" s="27">
        <f t="shared" si="2"/>
        <v>0</v>
      </c>
      <c r="AD41" s="26"/>
      <c r="AE41" s="22">
        <v>0</v>
      </c>
      <c r="AF41" s="24">
        <f t="shared" si="8"/>
        <v>0</v>
      </c>
      <c r="AG41" s="27">
        <f t="shared" si="3"/>
        <v>0</v>
      </c>
      <c r="AH41" s="28"/>
    </row>
    <row r="42" spans="1:34" s="12" customFormat="1">
      <c r="A42" s="44" t="s">
        <v>95</v>
      </c>
      <c r="B42" s="12" t="s">
        <v>110</v>
      </c>
      <c r="C42" s="46" t="s">
        <v>67</v>
      </c>
      <c r="D42" s="46" t="s">
        <v>70</v>
      </c>
      <c r="E42" s="46" t="s">
        <v>142</v>
      </c>
      <c r="F42" s="47" t="s">
        <v>72</v>
      </c>
      <c r="G42" s="4" t="s">
        <v>34</v>
      </c>
      <c r="H42" s="4">
        <f t="shared" si="4"/>
        <v>0.18536556410895266</v>
      </c>
      <c r="I42" s="5">
        <v>438</v>
      </c>
      <c r="J42" s="6">
        <v>11</v>
      </c>
      <c r="K42" s="5">
        <v>1563</v>
      </c>
      <c r="L42" s="5">
        <v>5279.9999999999991</v>
      </c>
      <c r="M42" s="5">
        <v>213.00299999999999</v>
      </c>
      <c r="N42" s="5">
        <v>54598.599999999991</v>
      </c>
      <c r="O42" s="7">
        <v>449322.71735669032</v>
      </c>
      <c r="P42" s="7">
        <v>10120.700288559061</v>
      </c>
      <c r="Q42" s="8">
        <v>2.2528107172282888E-2</v>
      </c>
      <c r="R42" s="9">
        <v>0.10357588845064253</v>
      </c>
      <c r="S42" s="5">
        <v>44507.249999999993</v>
      </c>
      <c r="T42" s="7">
        <f t="shared" si="5"/>
        <v>4609.8779612448589</v>
      </c>
      <c r="U42" s="10">
        <f t="shared" si="0"/>
        <v>0.45549001845811921</v>
      </c>
      <c r="V42" s="9">
        <v>3.7565251038269944</v>
      </c>
      <c r="W42" s="5">
        <v>1467</v>
      </c>
      <c r="X42" s="7">
        <f t="shared" si="6"/>
        <v>5510.8223273142012</v>
      </c>
      <c r="Y42" s="10">
        <f t="shared" si="1"/>
        <v>0.54450998154188068</v>
      </c>
      <c r="Z42" s="9"/>
      <c r="AA42" s="5">
        <v>0</v>
      </c>
      <c r="AB42" s="7">
        <f t="shared" si="7"/>
        <v>0</v>
      </c>
      <c r="AC42" s="10">
        <f t="shared" si="2"/>
        <v>0</v>
      </c>
      <c r="AD42" s="9"/>
      <c r="AE42" s="5">
        <v>0</v>
      </c>
      <c r="AF42" s="7">
        <f t="shared" si="8"/>
        <v>0</v>
      </c>
      <c r="AG42" s="10">
        <f t="shared" si="3"/>
        <v>0</v>
      </c>
      <c r="AH42" s="11"/>
    </row>
    <row r="43" spans="1:34" s="12" customFormat="1">
      <c r="A43" s="44" t="s">
        <v>100</v>
      </c>
      <c r="B43" s="12" t="s">
        <v>110</v>
      </c>
      <c r="C43" s="46" t="s">
        <v>67</v>
      </c>
      <c r="D43" s="46" t="s">
        <v>70</v>
      </c>
      <c r="E43" s="46" t="s">
        <v>142</v>
      </c>
      <c r="F43" s="47" t="s">
        <v>72</v>
      </c>
      <c r="G43" s="4" t="s">
        <v>39</v>
      </c>
      <c r="H43" s="4">
        <f t="shared" si="4"/>
        <v>0.2713945180573078</v>
      </c>
      <c r="I43" s="5">
        <v>438</v>
      </c>
      <c r="J43" s="6">
        <v>11</v>
      </c>
      <c r="K43" s="5">
        <v>2</v>
      </c>
      <c r="L43" s="5">
        <v>3</v>
      </c>
      <c r="M43" s="5">
        <v>34.695</v>
      </c>
      <c r="N43" s="5">
        <v>7507.43</v>
      </c>
      <c r="O43" s="7">
        <v>17353.384900495254</v>
      </c>
      <c r="P43" s="7">
        <v>2037.4753466989744</v>
      </c>
      <c r="Q43" s="8">
        <v>0.11755541632093204</v>
      </c>
      <c r="R43" s="9">
        <v>0.2713945180573078</v>
      </c>
      <c r="S43" s="5">
        <v>7507.43</v>
      </c>
      <c r="T43" s="7">
        <f t="shared" si="5"/>
        <v>2037.4753466989744</v>
      </c>
      <c r="U43" s="10">
        <f t="shared" si="0"/>
        <v>1</v>
      </c>
      <c r="V43" s="9"/>
      <c r="W43" s="5">
        <v>0</v>
      </c>
      <c r="X43" s="7">
        <f t="shared" si="6"/>
        <v>0</v>
      </c>
      <c r="Y43" s="10">
        <f t="shared" si="1"/>
        <v>0</v>
      </c>
      <c r="Z43" s="9"/>
      <c r="AA43" s="5">
        <v>0</v>
      </c>
      <c r="AB43" s="7">
        <f t="shared" si="7"/>
        <v>0</v>
      </c>
      <c r="AC43" s="10">
        <f t="shared" si="2"/>
        <v>0</v>
      </c>
      <c r="AD43" s="9"/>
      <c r="AE43" s="5">
        <v>0</v>
      </c>
      <c r="AF43" s="7">
        <f t="shared" si="8"/>
        <v>0</v>
      </c>
      <c r="AG43" s="10">
        <f t="shared" si="3"/>
        <v>0</v>
      </c>
      <c r="AH43" s="11" t="s">
        <v>41</v>
      </c>
    </row>
    <row r="44" spans="1:34" s="12" customFormat="1">
      <c r="A44" s="44" t="s">
        <v>91</v>
      </c>
      <c r="B44" s="12" t="s">
        <v>110</v>
      </c>
      <c r="C44" s="46" t="s">
        <v>67</v>
      </c>
      <c r="D44" s="46" t="s">
        <v>70</v>
      </c>
      <c r="E44" s="46" t="s">
        <v>142</v>
      </c>
      <c r="F44" s="47" t="s">
        <v>72</v>
      </c>
      <c r="G44" s="13" t="s">
        <v>43</v>
      </c>
      <c r="H44" s="4">
        <f t="shared" si="4"/>
        <v>0.18550232779710765</v>
      </c>
      <c r="I44" s="14">
        <v>438</v>
      </c>
      <c r="J44" s="15">
        <v>11</v>
      </c>
      <c r="K44" s="14">
        <v>2</v>
      </c>
      <c r="L44" s="14">
        <v>2</v>
      </c>
      <c r="M44" s="14">
        <v>35.231999999999999</v>
      </c>
      <c r="N44" s="14">
        <v>8014.82</v>
      </c>
      <c r="O44" s="16">
        <v>19437.40707701457</v>
      </c>
      <c r="P44" s="16">
        <v>1486.7677668748142</v>
      </c>
      <c r="Q44" s="17">
        <v>7.6490025700648639E-2</v>
      </c>
      <c r="R44" s="18">
        <v>0.18550232779710765</v>
      </c>
      <c r="S44" s="14">
        <v>8014.82</v>
      </c>
      <c r="T44" s="16">
        <f t="shared" si="5"/>
        <v>1486.7677668748142</v>
      </c>
      <c r="U44" s="19">
        <f t="shared" si="0"/>
        <v>1</v>
      </c>
      <c r="V44" s="18"/>
      <c r="W44" s="14">
        <v>0</v>
      </c>
      <c r="X44" s="16">
        <f t="shared" si="6"/>
        <v>0</v>
      </c>
      <c r="Y44" s="19">
        <f t="shared" si="1"/>
        <v>0</v>
      </c>
      <c r="Z44" s="18"/>
      <c r="AA44" s="14">
        <v>0</v>
      </c>
      <c r="AB44" s="16">
        <f t="shared" si="7"/>
        <v>0</v>
      </c>
      <c r="AC44" s="19">
        <f t="shared" si="2"/>
        <v>0</v>
      </c>
      <c r="AD44" s="18"/>
      <c r="AE44" s="14">
        <v>0</v>
      </c>
      <c r="AF44" s="16">
        <f t="shared" si="8"/>
        <v>0</v>
      </c>
      <c r="AG44" s="19">
        <f t="shared" si="3"/>
        <v>0</v>
      </c>
      <c r="AH44" s="20" t="s">
        <v>41</v>
      </c>
    </row>
    <row r="45" spans="1:34" s="12" customFormat="1">
      <c r="A45" s="44" t="s">
        <v>95</v>
      </c>
      <c r="B45" s="12" t="s">
        <v>125</v>
      </c>
      <c r="C45" s="46" t="s">
        <v>67</v>
      </c>
      <c r="D45" s="46" t="s">
        <v>63</v>
      </c>
      <c r="E45" s="46" t="s">
        <v>138</v>
      </c>
      <c r="F45" s="47" t="s">
        <v>73</v>
      </c>
      <c r="G45" s="29" t="s">
        <v>34</v>
      </c>
      <c r="H45" s="4">
        <f t="shared" si="4"/>
        <v>0.20004772335331208</v>
      </c>
      <c r="I45" s="30">
        <v>484</v>
      </c>
      <c r="J45" s="31">
        <v>20</v>
      </c>
      <c r="K45" s="30">
        <v>950</v>
      </c>
      <c r="L45" s="30">
        <v>3220</v>
      </c>
      <c r="M45" s="30">
        <v>186.60100000000003</v>
      </c>
      <c r="N45" s="30">
        <v>44053.450000000004</v>
      </c>
      <c r="O45" s="32">
        <v>276510.02663198259</v>
      </c>
      <c r="P45" s="32">
        <v>8812.7923783589667</v>
      </c>
      <c r="Q45" s="33">
        <v>3.1884946153332323E-2</v>
      </c>
      <c r="R45" s="34">
        <v>0.1483943793746306</v>
      </c>
      <c r="S45" s="30">
        <v>38035.17</v>
      </c>
      <c r="T45" s="32">
        <f t="shared" si="5"/>
        <v>5644.2054465585679</v>
      </c>
      <c r="U45" s="35">
        <f t="shared" si="0"/>
        <v>0.64045596494689883</v>
      </c>
      <c r="V45" s="34">
        <v>3.7631673774351535</v>
      </c>
      <c r="W45" s="30">
        <v>842</v>
      </c>
      <c r="X45" s="32">
        <f t="shared" si="6"/>
        <v>3168.5869318003993</v>
      </c>
      <c r="Y45" s="35">
        <f t="shared" si="1"/>
        <v>0.35954403505310117</v>
      </c>
      <c r="Z45" s="34"/>
      <c r="AA45" s="30">
        <v>0</v>
      </c>
      <c r="AB45" s="32">
        <f t="shared" si="7"/>
        <v>0</v>
      </c>
      <c r="AC45" s="35">
        <f t="shared" si="2"/>
        <v>0</v>
      </c>
      <c r="AD45" s="34"/>
      <c r="AE45" s="30">
        <v>0</v>
      </c>
      <c r="AF45" s="32">
        <f t="shared" si="8"/>
        <v>0</v>
      </c>
      <c r="AG45" s="35">
        <f t="shared" si="3"/>
        <v>0</v>
      </c>
      <c r="AH45" s="41" t="s">
        <v>61</v>
      </c>
    </row>
    <row r="46" spans="1:34" s="12" customFormat="1">
      <c r="C46" s="49"/>
      <c r="D46" s="49"/>
      <c r="E46" s="49"/>
      <c r="F46" s="42"/>
      <c r="G46" s="43"/>
      <c r="H46" s="43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3"/>
    </row>
    <row r="47" spans="1:34" s="12" customFormat="1">
      <c r="C47" s="49"/>
      <c r="D47" s="49"/>
      <c r="E47" s="49"/>
      <c r="F47" s="42"/>
      <c r="G47" s="43"/>
      <c r="H47" s="43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3"/>
    </row>
    <row r="48" spans="1:34" s="12" customFormat="1">
      <c r="C48" s="49"/>
      <c r="D48" s="49"/>
      <c r="E48" s="49"/>
      <c r="F48" s="42"/>
      <c r="G48" s="43"/>
      <c r="H48" s="43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3"/>
    </row>
    <row r="49" spans="3:34" s="12" customFormat="1">
      <c r="C49" s="49"/>
      <c r="D49" s="49"/>
      <c r="E49" s="49"/>
      <c r="F49" s="42"/>
      <c r="G49" s="43"/>
      <c r="H49" s="43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3"/>
    </row>
    <row r="50" spans="3:34" s="12" customFormat="1">
      <c r="C50" s="49"/>
      <c r="D50" s="49"/>
      <c r="E50" s="49"/>
      <c r="F50" s="42"/>
      <c r="G50" s="43"/>
      <c r="H50" s="43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3"/>
    </row>
    <row r="51" spans="3:34" s="12" customFormat="1">
      <c r="C51" s="49"/>
      <c r="D51" s="49"/>
      <c r="E51" s="49"/>
      <c r="F51" s="42"/>
      <c r="G51" s="43"/>
      <c r="H51" s="43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3"/>
    </row>
    <row r="52" spans="3:34" s="12" customFormat="1">
      <c r="C52" s="49"/>
      <c r="D52" s="49"/>
      <c r="E52" s="49"/>
      <c r="F52" s="42"/>
      <c r="G52" s="43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3"/>
    </row>
    <row r="53" spans="3:34" s="12" customFormat="1">
      <c r="C53" s="49"/>
      <c r="D53" s="49"/>
      <c r="E53" s="49"/>
      <c r="F53" s="42"/>
      <c r="G53" s="43"/>
      <c r="H53" s="43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3"/>
    </row>
    <row r="54" spans="3:34" s="12" customFormat="1">
      <c r="C54" s="49"/>
      <c r="D54" s="49"/>
      <c r="E54" s="49"/>
      <c r="F54" s="42"/>
      <c r="G54" s="43"/>
      <c r="H54" s="43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3"/>
    </row>
    <row r="55" spans="3:34" s="12" customFormat="1">
      <c r="C55" s="49"/>
      <c r="D55" s="49"/>
      <c r="E55" s="49"/>
      <c r="F55" s="42"/>
      <c r="G55" s="43"/>
      <c r="H55" s="43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3"/>
    </row>
    <row r="56" spans="3:34" s="12" customFormat="1">
      <c r="C56" s="49"/>
      <c r="D56" s="49"/>
      <c r="E56" s="49"/>
      <c r="F56" s="42"/>
      <c r="G56" s="43"/>
      <c r="H56" s="43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3"/>
    </row>
    <row r="57" spans="3:34" s="12" customFormat="1">
      <c r="C57" s="49"/>
      <c r="D57" s="49"/>
      <c r="E57" s="49"/>
      <c r="F57" s="42"/>
      <c r="G57" s="43"/>
      <c r="H57" s="43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3"/>
    </row>
    <row r="58" spans="3:34" s="12" customFormat="1">
      <c r="C58" s="49"/>
      <c r="D58" s="49"/>
      <c r="E58" s="49"/>
      <c r="F58" s="42"/>
      <c r="G58" s="43"/>
      <c r="H58" s="43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3"/>
    </row>
    <row r="59" spans="3:34" s="12" customFormat="1">
      <c r="C59" s="49"/>
      <c r="D59" s="49"/>
      <c r="E59" s="49"/>
      <c r="F59" s="42"/>
      <c r="G59" s="43"/>
      <c r="H59" s="43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3"/>
    </row>
    <row r="60" spans="3:34" s="12" customFormat="1">
      <c r="C60" s="49"/>
      <c r="D60" s="49"/>
      <c r="E60" s="49"/>
      <c r="F60" s="42"/>
      <c r="G60" s="43"/>
      <c r="H60" s="43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3"/>
    </row>
    <row r="61" spans="3:34" s="12" customFormat="1">
      <c r="C61" s="49"/>
      <c r="D61" s="49"/>
      <c r="E61" s="49"/>
      <c r="F61" s="42"/>
      <c r="G61" s="43"/>
      <c r="H61" s="43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3"/>
    </row>
    <row r="62" spans="3:34" s="12" customFormat="1">
      <c r="C62" s="49"/>
      <c r="D62" s="49"/>
      <c r="E62" s="49"/>
      <c r="F62" s="42"/>
      <c r="G62" s="43"/>
      <c r="H62" s="43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3"/>
    </row>
    <row r="63" spans="3:34" s="12" customFormat="1">
      <c r="C63" s="49"/>
      <c r="D63" s="49"/>
      <c r="E63" s="49"/>
      <c r="F63" s="42"/>
      <c r="G63" s="43"/>
      <c r="H63" s="43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3"/>
    </row>
    <row r="64" spans="3:34" s="12" customFormat="1">
      <c r="C64" s="49"/>
      <c r="D64" s="49"/>
      <c r="E64" s="49"/>
      <c r="F64" s="42"/>
      <c r="G64" s="43"/>
      <c r="H64" s="43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3"/>
    </row>
    <row r="65" spans="3:34" s="12" customFormat="1">
      <c r="C65" s="49"/>
      <c r="D65" s="49"/>
      <c r="E65" s="49"/>
      <c r="F65" s="42"/>
      <c r="G65" s="43"/>
      <c r="H65" s="43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3"/>
    </row>
  </sheetData>
  <mergeCells count="5">
    <mergeCell ref="AD1:AG1"/>
    <mergeCell ref="K1:Q1"/>
    <mergeCell ref="R1:U1"/>
    <mergeCell ref="V1:Y1"/>
    <mergeCell ref="Z1:AC1"/>
  </mergeCells>
  <conditionalFormatting sqref="Q3:Q6">
    <cfRule type="top10" dxfId="144" priority="120" bottom="1" rank="1"/>
    <cfRule type="top10" dxfId="143" priority="121" rank="1"/>
  </conditionalFormatting>
  <conditionalFormatting sqref="Q7:Q13">
    <cfRule type="top10" dxfId="142" priority="144" bottom="1" rank="1"/>
    <cfRule type="top10" dxfId="141" priority="145" rank="1"/>
  </conditionalFormatting>
  <conditionalFormatting sqref="Q14:Q16">
    <cfRule type="top10" dxfId="140" priority="142" bottom="1" rank="1"/>
    <cfRule type="top10" dxfId="139" priority="143" rank="1"/>
  </conditionalFormatting>
  <conditionalFormatting sqref="Q17">
    <cfRule type="top10" dxfId="138" priority="140" bottom="1" rank="1"/>
    <cfRule type="top10" dxfId="137" priority="141" rank="1"/>
  </conditionalFormatting>
  <conditionalFormatting sqref="Q18:Q21">
    <cfRule type="top10" dxfId="136" priority="138" bottom="1" rank="1"/>
    <cfRule type="top10" dxfId="135" priority="139" rank="1"/>
  </conditionalFormatting>
  <conditionalFormatting sqref="Q22:Q25">
    <cfRule type="top10" dxfId="134" priority="136" bottom="1" rank="1"/>
    <cfRule type="top10" dxfId="133" priority="137" rank="1"/>
  </conditionalFormatting>
  <conditionalFormatting sqref="Q26:Q28">
    <cfRule type="top10" dxfId="132" priority="134" bottom="1" rank="1"/>
    <cfRule type="top10" dxfId="131" priority="135" rank="1"/>
  </conditionalFormatting>
  <conditionalFormatting sqref="Q29:Q30">
    <cfRule type="top10" dxfId="130" priority="132" bottom="1" rank="1"/>
    <cfRule type="top10" dxfId="129" priority="133" rank="1"/>
  </conditionalFormatting>
  <conditionalFormatting sqref="Q31:Q32">
    <cfRule type="top10" dxfId="128" priority="130" bottom="1" rank="1"/>
    <cfRule type="top10" dxfId="127" priority="131" rank="1"/>
  </conditionalFormatting>
  <conditionalFormatting sqref="Q33:Q34">
    <cfRule type="top10" dxfId="126" priority="128" bottom="1" rank="1"/>
    <cfRule type="top10" dxfId="125" priority="129" rank="1"/>
  </conditionalFormatting>
  <conditionalFormatting sqref="Q35:Q36">
    <cfRule type="top10" dxfId="124" priority="126" bottom="1" rank="1"/>
    <cfRule type="top10" dxfId="123" priority="127" rank="1"/>
  </conditionalFormatting>
  <conditionalFormatting sqref="Q37">
    <cfRule type="top10" dxfId="122" priority="119" rank="1"/>
  </conditionalFormatting>
  <conditionalFormatting sqref="Q38">
    <cfRule type="top10" dxfId="121" priority="118" rank="1"/>
  </conditionalFormatting>
  <conditionalFormatting sqref="Q39:Q40">
    <cfRule type="top10" dxfId="120" priority="124" bottom="1" rank="1"/>
    <cfRule type="top10" dxfId="119" priority="125" rank="1"/>
  </conditionalFormatting>
  <conditionalFormatting sqref="Q41:Q44">
    <cfRule type="top10" dxfId="118" priority="122" bottom="1" rank="1"/>
    <cfRule type="top10" dxfId="117" priority="123" rank="1"/>
  </conditionalFormatting>
  <conditionalFormatting sqref="Q45">
    <cfRule type="top10" dxfId="116" priority="117" rank="1"/>
  </conditionalFormatting>
  <conditionalFormatting sqref="R3:R6">
    <cfRule type="top10" dxfId="115" priority="91" bottom="1" rank="1"/>
    <cfRule type="top10" dxfId="114" priority="92" rank="1"/>
  </conditionalFormatting>
  <conditionalFormatting sqref="R7:R13">
    <cfRule type="top10" dxfId="113" priority="115" bottom="1" rank="1"/>
    <cfRule type="top10" dxfId="112" priority="116" rank="1"/>
  </conditionalFormatting>
  <conditionalFormatting sqref="R14:R16">
    <cfRule type="top10" dxfId="111" priority="113" bottom="1" rank="1"/>
    <cfRule type="top10" dxfId="110" priority="114" rank="1"/>
  </conditionalFormatting>
  <conditionalFormatting sqref="R17">
    <cfRule type="top10" dxfId="109" priority="111" bottom="1" rank="1"/>
    <cfRule type="top10" dxfId="108" priority="112" rank="1"/>
  </conditionalFormatting>
  <conditionalFormatting sqref="R18:R21">
    <cfRule type="top10" dxfId="107" priority="109" bottom="1" rank="1"/>
    <cfRule type="top10" dxfId="106" priority="110" rank="1"/>
  </conditionalFormatting>
  <conditionalFormatting sqref="R22:R25">
    <cfRule type="top10" dxfId="105" priority="107" bottom="1" rank="1"/>
    <cfRule type="top10" dxfId="104" priority="108" rank="1"/>
  </conditionalFormatting>
  <conditionalFormatting sqref="R26:R28">
    <cfRule type="top10" dxfId="103" priority="105" bottom="1" rank="1"/>
    <cfRule type="top10" dxfId="102" priority="106" rank="1"/>
  </conditionalFormatting>
  <conditionalFormatting sqref="R29:R30">
    <cfRule type="top10" dxfId="101" priority="103" bottom="1" rank="1"/>
    <cfRule type="top10" dxfId="100" priority="104" rank="1"/>
  </conditionalFormatting>
  <conditionalFormatting sqref="R31:R32">
    <cfRule type="top10" dxfId="99" priority="101" bottom="1" rank="1"/>
    <cfRule type="top10" dxfId="98" priority="102" rank="1"/>
  </conditionalFormatting>
  <conditionalFormatting sqref="R33:R34">
    <cfRule type="top10" dxfId="97" priority="99" bottom="1" rank="1"/>
    <cfRule type="top10" dxfId="96" priority="100" rank="1"/>
  </conditionalFormatting>
  <conditionalFormatting sqref="R35:R36">
    <cfRule type="top10" dxfId="95" priority="97" bottom="1" rank="1"/>
    <cfRule type="top10" dxfId="94" priority="98" rank="1"/>
  </conditionalFormatting>
  <conditionalFormatting sqref="R37">
    <cfRule type="top10" dxfId="93" priority="90" rank="1"/>
  </conditionalFormatting>
  <conditionalFormatting sqref="R38">
    <cfRule type="top10" dxfId="92" priority="89" rank="1"/>
  </conditionalFormatting>
  <conditionalFormatting sqref="R39:R40">
    <cfRule type="top10" dxfId="91" priority="95" bottom="1" rank="1"/>
    <cfRule type="top10" dxfId="90" priority="96" rank="1"/>
  </conditionalFormatting>
  <conditionalFormatting sqref="R41:R44">
    <cfRule type="top10" dxfId="89" priority="93" bottom="1" rank="1"/>
    <cfRule type="top10" dxfId="88" priority="94" rank="1"/>
  </conditionalFormatting>
  <conditionalFormatting sqref="R45">
    <cfRule type="top10" dxfId="87" priority="88" rank="1"/>
  </conditionalFormatting>
  <conditionalFormatting sqref="V3:V6">
    <cfRule type="top10" dxfId="86" priority="62" bottom="1" rank="1"/>
    <cfRule type="top10" dxfId="85" priority="63" rank="1"/>
  </conditionalFormatting>
  <conditionalFormatting sqref="V7:V13">
    <cfRule type="top10" dxfId="84" priority="86" bottom="1" rank="1"/>
    <cfRule type="top10" dxfId="83" priority="87" rank="1"/>
  </conditionalFormatting>
  <conditionalFormatting sqref="V14:V16">
    <cfRule type="top10" dxfId="82" priority="84" bottom="1" rank="1"/>
    <cfRule type="top10" dxfId="81" priority="85" rank="1"/>
  </conditionalFormatting>
  <conditionalFormatting sqref="V17">
    <cfRule type="top10" dxfId="80" priority="82" bottom="1" rank="1"/>
    <cfRule type="top10" dxfId="79" priority="83" rank="1"/>
  </conditionalFormatting>
  <conditionalFormatting sqref="V18:V21">
    <cfRule type="top10" dxfId="78" priority="80" bottom="1" rank="1"/>
    <cfRule type="top10" dxfId="77" priority="81" rank="1"/>
  </conditionalFormatting>
  <conditionalFormatting sqref="V22:V25">
    <cfRule type="top10" dxfId="76" priority="78" bottom="1" rank="1"/>
    <cfRule type="top10" dxfId="75" priority="79" rank="1"/>
  </conditionalFormatting>
  <conditionalFormatting sqref="V26:V28">
    <cfRule type="top10" dxfId="74" priority="76" bottom="1" rank="1"/>
    <cfRule type="top10" dxfId="73" priority="77" rank="1"/>
  </conditionalFormatting>
  <conditionalFormatting sqref="V29:V30">
    <cfRule type="top10" dxfId="72" priority="74" bottom="1" rank="1"/>
    <cfRule type="top10" dxfId="71" priority="75" rank="1"/>
  </conditionalFormatting>
  <conditionalFormatting sqref="V31:V32">
    <cfRule type="top10" dxfId="70" priority="72" bottom="1" rank="1"/>
    <cfRule type="top10" dxfId="69" priority="73" rank="1"/>
  </conditionalFormatting>
  <conditionalFormatting sqref="V33:V34">
    <cfRule type="top10" dxfId="68" priority="70" bottom="1" rank="1"/>
    <cfRule type="top10" dxfId="67" priority="71" rank="1"/>
  </conditionalFormatting>
  <conditionalFormatting sqref="V35:V36">
    <cfRule type="top10" dxfId="66" priority="68" bottom="1" rank="1"/>
    <cfRule type="top10" dxfId="65" priority="69" rank="1"/>
  </conditionalFormatting>
  <conditionalFormatting sqref="V37">
    <cfRule type="top10" dxfId="64" priority="61" rank="1"/>
  </conditionalFormatting>
  <conditionalFormatting sqref="V38">
    <cfRule type="top10" dxfId="63" priority="60" rank="1"/>
  </conditionalFormatting>
  <conditionalFormatting sqref="V39:V40">
    <cfRule type="top10" dxfId="62" priority="66" bottom="1" rank="1"/>
    <cfRule type="top10" dxfId="61" priority="67" rank="1"/>
  </conditionalFormatting>
  <conditionalFormatting sqref="V41:V44">
    <cfRule type="top10" dxfId="60" priority="64" bottom="1" rank="1"/>
    <cfRule type="top10" dxfId="59" priority="65" rank="1"/>
  </conditionalFormatting>
  <conditionalFormatting sqref="V45">
    <cfRule type="top10" dxfId="58" priority="59" rank="1"/>
  </conditionalFormatting>
  <conditionalFormatting sqref="Z3:Z6">
    <cfRule type="top10" dxfId="57" priority="33" bottom="1" rank="1"/>
    <cfRule type="top10" dxfId="56" priority="34" rank="1"/>
  </conditionalFormatting>
  <conditionalFormatting sqref="Z7:Z13">
    <cfRule type="top10" dxfId="55" priority="57" bottom="1" rank="1"/>
    <cfRule type="top10" dxfId="54" priority="58" rank="1"/>
  </conditionalFormatting>
  <conditionalFormatting sqref="Z14:Z16">
    <cfRule type="top10" dxfId="53" priority="55" bottom="1" rank="1"/>
    <cfRule type="top10" dxfId="52" priority="56" rank="1"/>
  </conditionalFormatting>
  <conditionalFormatting sqref="Z17">
    <cfRule type="top10" dxfId="51" priority="53" bottom="1" rank="1"/>
    <cfRule type="top10" dxfId="50" priority="54" rank="1"/>
  </conditionalFormatting>
  <conditionalFormatting sqref="Z18:Z21">
    <cfRule type="top10" dxfId="49" priority="51" bottom="1" rank="1"/>
    <cfRule type="top10" dxfId="48" priority="52" rank="1"/>
  </conditionalFormatting>
  <conditionalFormatting sqref="Z22:Z25">
    <cfRule type="top10" dxfId="47" priority="49" bottom="1" rank="1"/>
    <cfRule type="top10" dxfId="46" priority="50" rank="1"/>
  </conditionalFormatting>
  <conditionalFormatting sqref="Z26:Z28">
    <cfRule type="top10" dxfId="45" priority="47" bottom="1" rank="1"/>
    <cfRule type="top10" dxfId="44" priority="48" rank="1"/>
  </conditionalFormatting>
  <conditionalFormatting sqref="Z29:Z30">
    <cfRule type="top10" dxfId="43" priority="45" bottom="1" rank="1"/>
    <cfRule type="top10" dxfId="42" priority="46" rank="1"/>
  </conditionalFormatting>
  <conditionalFormatting sqref="Z31:Z32">
    <cfRule type="top10" dxfId="41" priority="43" bottom="1" rank="1"/>
    <cfRule type="top10" dxfId="40" priority="44" rank="1"/>
  </conditionalFormatting>
  <conditionalFormatting sqref="Z33:Z34">
    <cfRule type="top10" dxfId="39" priority="41" bottom="1" rank="1"/>
    <cfRule type="top10" dxfId="38" priority="42" rank="1"/>
  </conditionalFormatting>
  <conditionalFormatting sqref="Z35:Z36">
    <cfRule type="top10" dxfId="37" priority="39" bottom="1" rank="1"/>
    <cfRule type="top10" dxfId="36" priority="40" rank="1"/>
  </conditionalFormatting>
  <conditionalFormatting sqref="Z37">
    <cfRule type="top10" dxfId="35" priority="32" rank="1"/>
  </conditionalFormatting>
  <conditionalFormatting sqref="Z38">
    <cfRule type="top10" dxfId="34" priority="31" rank="1"/>
  </conditionalFormatting>
  <conditionalFormatting sqref="Z39:Z40">
    <cfRule type="top10" dxfId="33" priority="37" bottom="1" rank="1"/>
    <cfRule type="top10" dxfId="32" priority="38" rank="1"/>
  </conditionalFormatting>
  <conditionalFormatting sqref="Z41:Z44">
    <cfRule type="top10" dxfId="31" priority="35" bottom="1" rank="1"/>
    <cfRule type="top10" dxfId="30" priority="36" rank="1"/>
  </conditionalFormatting>
  <conditionalFormatting sqref="Z45">
    <cfRule type="top10" dxfId="29" priority="30" rank="1"/>
  </conditionalFormatting>
  <conditionalFormatting sqref="AD3:AD6">
    <cfRule type="top10" dxfId="28" priority="4" bottom="1" rank="1"/>
    <cfRule type="top10" dxfId="27" priority="5" rank="1"/>
  </conditionalFormatting>
  <conditionalFormatting sqref="AD7:AD13">
    <cfRule type="top10" dxfId="26" priority="28" bottom="1" rank="1"/>
    <cfRule type="top10" dxfId="25" priority="29" rank="1"/>
  </conditionalFormatting>
  <conditionalFormatting sqref="AD14:AD16">
    <cfRule type="top10" dxfId="24" priority="26" bottom="1" rank="1"/>
    <cfRule type="top10" dxfId="23" priority="27" rank="1"/>
  </conditionalFormatting>
  <conditionalFormatting sqref="AD17">
    <cfRule type="top10" dxfId="22" priority="24" bottom="1" rank="1"/>
    <cfRule type="top10" dxfId="21" priority="25" rank="1"/>
  </conditionalFormatting>
  <conditionalFormatting sqref="AD18:AD21">
    <cfRule type="top10" dxfId="20" priority="22" bottom="1" rank="1"/>
    <cfRule type="top10" dxfId="19" priority="23" rank="1"/>
  </conditionalFormatting>
  <conditionalFormatting sqref="AD22:AD25">
    <cfRule type="top10" dxfId="18" priority="20" bottom="1" rank="1"/>
    <cfRule type="top10" dxfId="17" priority="21" rank="1"/>
  </conditionalFormatting>
  <conditionalFormatting sqref="AD26:AD28">
    <cfRule type="top10" dxfId="16" priority="18" bottom="1" rank="1"/>
    <cfRule type="top10" dxfId="15" priority="19" rank="1"/>
  </conditionalFormatting>
  <conditionalFormatting sqref="AD29:AD30">
    <cfRule type="top10" dxfId="14" priority="16" bottom="1" rank="1"/>
    <cfRule type="top10" dxfId="13" priority="17" rank="1"/>
  </conditionalFormatting>
  <conditionalFormatting sqref="AD31:AD32">
    <cfRule type="top10" dxfId="12" priority="14" bottom="1" rank="1"/>
    <cfRule type="top10" dxfId="11" priority="15" rank="1"/>
  </conditionalFormatting>
  <conditionalFormatting sqref="AD33:AD34">
    <cfRule type="top10" dxfId="10" priority="12" bottom="1" rank="1"/>
    <cfRule type="top10" dxfId="9" priority="13" rank="1"/>
  </conditionalFormatting>
  <conditionalFormatting sqref="AD35:AD36">
    <cfRule type="top10" dxfId="8" priority="10" bottom="1" rank="1"/>
    <cfRule type="top10" dxfId="7" priority="11" rank="1"/>
  </conditionalFormatting>
  <conditionalFormatting sqref="AD37">
    <cfRule type="top10" dxfId="6" priority="3" rank="1"/>
  </conditionalFormatting>
  <conditionalFormatting sqref="AD38">
    <cfRule type="top10" dxfId="5" priority="2" rank="1"/>
  </conditionalFormatting>
  <conditionalFormatting sqref="AD39:AD40">
    <cfRule type="top10" dxfId="4" priority="8" bottom="1" rank="1"/>
    <cfRule type="top10" dxfId="3" priority="9" rank="1"/>
  </conditionalFormatting>
  <conditionalFormatting sqref="AD41:AD44">
    <cfRule type="top10" dxfId="2" priority="6" bottom="1" rank="1"/>
    <cfRule type="top10" dxfId="1" priority="7" rank="1"/>
  </conditionalFormatting>
  <conditionalFormatting sqref="AD45">
    <cfRule type="top10" dxfId="0" priority="1" rank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Avalos R</dc:creator>
  <cp:lastModifiedBy>Facundo Arturo Cabral Valdivia</cp:lastModifiedBy>
  <dcterms:created xsi:type="dcterms:W3CDTF">2026-06-17T23:06:34Z</dcterms:created>
  <dcterms:modified xsi:type="dcterms:W3CDTF">2026-06-18T19:12:14Z</dcterms:modified>
</cp:coreProperties>
</file>